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e95029e8a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出说明" sheetId="1" r:id="Rc0d6d4a85df44a98"/>
    <x:sheet xmlns:r="http://schemas.openxmlformats.org/officeDocument/2006/relationships" name="SKU价格明细" sheetId="2" r:id="Rc0c7368997af4610"/>
    <x:sheet xmlns:r="http://schemas.openxmlformats.org/officeDocument/2006/relationships" name="商品价格汇总" sheetId="3" r:id="Re60e206dd0104f0e"/>
    <x:sheet xmlns:r="http://schemas.openxmlformats.org/officeDocument/2006/relationships" name="现有礼包成本参考" sheetId="4" r:id="R5778eff543f248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¥#,##0.00"/>
    <x:numFmt numFmtId="202" formatCode="0"/>
    <x:numFmt numFmtId="203" formatCode="0.###"/>
    <x:numFmt numFmtId="204" formatCode="0.00%"/>
  </x:numFmts>
  <x:fonts count="12">
    <x:font>
      <x:sz val="11"/>
      <x:name val="Carlito"/>
    </x:font>
    <x:font>
      <x:b/>
      <x:sz val="18"/>
      <x:color rgb="FFFFFFFF"/>
      <x:name val="Carlito"/>
    </x:font>
    <x:font>
      <x:sz val="10"/>
      <x:color rgb="FF5B625C"/>
      <x:name val="Carlito"/>
    </x:font>
    <x:font>
      <x:b/>
      <x:sz val="11"/>
      <x:color rgb="FF163A2A"/>
      <x:name val="Carlito"/>
    </x:font>
    <x:font>
      <x:sz val="11"/>
      <x:color rgb="FF25332B"/>
      <x:name val="Carlito"/>
    </x:font>
    <x:font>
      <x:b/>
      <x:sz val="11"/>
      <x:color rgb="FF2E6B4F"/>
      <x:name val="Carlito"/>
    </x:font>
    <x:font>
      <x:b/>
      <x:sz val="16"/>
      <x:color rgb="FF163A2A"/>
      <x:name val="Carlito"/>
    </x:font>
    <x:font>
      <x:b/>
      <x:sz val="11"/>
      <x:color rgb="FF7A5315"/>
      <x:name val="Carlito"/>
    </x:font>
    <x:font>
      <x:b/>
      <x:sz val="16"/>
      <x:color rgb="FF7A5315"/>
      <x:name val="Carlito"/>
    </x:font>
    <x:font>
      <x:b/>
      <x:sz val="11"/>
      <x:color rgb="FFFFFFFF"/>
      <x:name val="Carlito"/>
    </x:font>
    <x:font>
      <x:sz val="11"/>
      <x:color rgb="FF4C514D"/>
      <x:name val="Carlito"/>
    </x:font>
    <x:font>
      <x:sz val="10"/>
      <x:color rgb="FF25332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A2A"/>
      </x:patternFill>
    </x:fill>
    <x:fill>
      <x:patternFill patternType="solid">
        <x:fgColor rgb="FFFAF7F0"/>
      </x:patternFill>
    </x:fill>
    <x:fill>
      <x:patternFill patternType="solid">
        <x:fgColor rgb="FFEAF3ED"/>
      </x:patternFill>
    </x:fill>
    <x:fill>
      <x:patternFill patternType="solid">
        <x:fgColor rgb="FFFFFFFF"/>
      </x:patternFill>
    </x:fill>
    <x:fill>
      <x:patternFill patternType="solid">
        <x:fgColor rgb="FFF4E8D2"/>
      </x:patternFill>
    </x:fill>
    <x:fill>
      <x:patternFill patternType="solid">
        <x:fgColor rgb="FF2E6B4F"/>
      </x:patternFill>
    </x:fill>
  </x:fills>
  <x:borders count="15">
    <x:border/>
    <x:border>
      <x:left style="thin">
        <x:color rgb="FFB8C9BE"/>
      </x:left>
      <x:top style="thin">
        <x:color rgb="FFB8C9BE"/>
      </x:top>
      <x:bottom style="thin">
        <x:color rgb="FFD8E1DB"/>
      </x:bottom>
    </x:border>
    <x:border>
      <x:right style="thin">
        <x:color rgb="FFB8C9BE"/>
      </x:right>
      <x:top style="thin">
        <x:color rgb="FFB8C9BE"/>
      </x:top>
      <x:bottom style="thin">
        <x:color rgb="FFD8E1DB"/>
      </x:bottom>
    </x:border>
    <x:border>
      <x:left style="thin">
        <x:color rgb="FFB8C9BE"/>
      </x:left>
      <x:top style="thin">
        <x:color rgb="FFD8E1DB"/>
      </x:top>
      <x:bottom style="thin">
        <x:color rgb="FFD8E1DB"/>
      </x:bottom>
    </x:border>
    <x:border>
      <x:right style="thin">
        <x:color rgb="FFB8C9BE"/>
      </x:right>
      <x:top style="thin">
        <x:color rgb="FFD8E1DB"/>
      </x:top>
      <x:bottom style="thin">
        <x:color rgb="FFD8E1DB"/>
      </x:bottom>
    </x:border>
    <x:border>
      <x:left style="thin">
        <x:color rgb="FFB8C9BE"/>
      </x:left>
      <x:top style="thin">
        <x:color rgb="FFD8E1DB"/>
      </x:top>
      <x:bottom style="thin">
        <x:color rgb="FFB8C9BE"/>
      </x:bottom>
    </x:border>
    <x:border>
      <x:right style="thin">
        <x:color rgb="FFB8C9BE"/>
      </x:right>
      <x:top style="thin">
        <x:color rgb="FFD8E1DB"/>
      </x:top>
      <x:bottom style="thin">
        <x:color rgb="FFB8C9BE"/>
      </x:bottom>
    </x:border>
    <x:border>
      <x:bottom style="medium">
        <x:color rgb="FFC58B2B"/>
      </x:bottom>
    </x:border>
    <x:border>
      <x:bottom style="thin">
        <x:color rgb="FFE7DDCB"/>
      </x:bottom>
    </x:border>
    <x:border>
      <x:top style="thin">
        <x:color rgb="FFE7DDCB"/>
      </x:top>
      <x:bottom style="thin">
        <x:color rgb="FFE7DDCB"/>
      </x:bottom>
    </x:border>
    <x:border>
      <x:top style="thin">
        <x:color rgb="FFE7DDCB"/>
      </x:top>
    </x:border>
    <x:border>
      <x:bottom style="medium">
        <x:color rgb="FF163A2A"/>
      </x:bottom>
    </x:border>
    <x:border>
      <x:bottom style="thin">
        <x:color rgb="FFE3E8E4"/>
      </x:bottom>
    </x:border>
    <x:border>
      <x:top style="thin">
        <x:color rgb="FFE3E8E4"/>
      </x:top>
      <x:bottom style="thin">
        <x:color rgb="FFE3E8E4"/>
      </x:bottom>
    </x:border>
    <x:border>
      <x:top style="thin">
        <x:color rgb="FFE3E8E4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7" xfId="0" applyNumberFormat="1" applyFont="1" applyFill="1" applyBorder="1" applyAlignment="1">
      <x:alignment horizontal="center"/>
    </x:xf>
    <x:xf numFmtId="0" fontId="6" fillId="5" borderId="7" xfId="0" applyNumberFormat="1" applyFont="1" applyFill="1" applyBorder="1" applyAlignment="1">
      <x:alignment horizontal="center" vertical="center"/>
    </x:xf>
    <x:xf numFmtId="200" fontId="6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7" xfId="0" applyNumberFormat="1" applyFont="1" applyFill="1" applyBorder="1"/>
    <x:xf numFmtId="0" fontId="8" fillId="5" borderId="7" xfId="0" applyNumberFormat="1" applyFont="1" applyFill="1" applyBorder="1" applyAlignment="1">
      <x:alignment horizontal="center"/>
    </x:xf>
    <x:xf numFmtId="0" fontId="8" fillId="5" borderId="7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0" fontId="10" fillId="3" borderId="8" xfId="0" applyNumberFormat="1" applyFont="1" applyFill="1" applyBorder="1"/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8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8" xfId="0" applyNumberFormat="1" applyFont="1" applyFill="1" applyBorder="1" applyAlignment="1">
      <x:alignment vertical="center" wrapText="1"/>
    </x:xf>
    <x:xf numFmtId="0" fontId="10" fillId="3" borderId="9" xfId="0" applyNumberFormat="1" applyFont="1" applyFill="1" applyBorder="1" applyAlignment="1">
      <x:alignment vertical="center" wrapText="1"/>
    </x:xf>
    <x:xf numFmtId="0" fontId="10" fillId="3" borderId="1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1" xfId="0" applyNumberFormat="1" applyFont="1" applyFill="1" applyBorder="1"/>
    <x:xf numFmtId="0" fontId="9" fillId="7" borderId="11" xfId="0" applyNumberFormat="1" applyFont="1" applyFill="1" applyBorder="1" applyAlignment="1">
      <x:alignment wrapText="1"/>
    </x:xf>
    <x:xf numFmtId="0" fontId="9" fillId="7" borderId="11" xfId="0" applyNumberFormat="1" applyFont="1" applyFill="1" applyBorder="1" applyAlignment="1">
      <x:alignment horizontal="center" wrapText="1"/>
    </x:xf>
    <x:xf numFmtId="0" fontId="9" fillId="7" borderId="11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12" xfId="0" applyNumberFormat="1" applyFont="1" applyFill="1" applyBorder="1"/>
    <x:xf numFmtId="0" fontId="11" fillId="0" borderId="13" xfId="0" applyNumberFormat="1" applyFont="1" applyFill="1" applyBorder="1"/>
    <x:xf numFmtId="0" fontId="11" fillId="0" borderId="14" xfId="0" applyNumberFormat="1" applyFont="1" applyFill="1" applyBorder="1"/>
    <x:xf numFmtId="0" fontId="11" fillId="0" borderId="12" xfId="0" applyNumberFormat="1" applyFont="1" applyFill="1" applyBorder="1" applyAlignment="1">
      <x:alignment vertical="center"/>
    </x:xf>
    <x:xf numFmtId="0" fontId="11" fillId="0" borderId="13" xfId="0" applyNumberFormat="1" applyFont="1" applyFill="1" applyBorder="1" applyAlignment="1">
      <x:alignment vertical="center"/>
    </x:xf>
    <x:xf numFmtId="0" fontId="11" fillId="0" borderId="14" xfId="0" applyNumberFormat="1" applyFont="1" applyFill="1" applyBorder="1" applyAlignment="1">
      <x:alignment vertical="center"/>
    </x:xf>
    <x:xf numFmtId="201" fontId="11" fillId="0" borderId="12" xfId="0" applyNumberFormat="1" applyFont="1" applyFill="1" applyBorder="1" applyAlignment="1">
      <x:alignment vertical="center"/>
    </x:xf>
    <x:xf numFmtId="201" fontId="11" fillId="0" borderId="13" xfId="0" applyNumberFormat="1" applyFont="1" applyFill="1" applyBorder="1" applyAlignment="1">
      <x:alignment vertical="center"/>
    </x:xf>
    <x:xf numFmtId="201" fontId="11" fillId="0" borderId="14" xfId="0" applyNumberFormat="1" applyFont="1" applyFill="1" applyBorder="1" applyAlignment="1">
      <x:alignment vertical="center"/>
    </x:xf>
    <x:xf numFmtId="200" fontId="11" fillId="0" borderId="12" xfId="0" applyNumberFormat="1" applyFont="1" applyFill="1" applyBorder="1" applyAlignment="1">
      <x:alignment vertical="center"/>
    </x:xf>
    <x:xf numFmtId="200" fontId="11" fillId="0" borderId="13" xfId="0" applyNumberFormat="1" applyFont="1" applyFill="1" applyBorder="1" applyAlignment="1">
      <x:alignment vertical="center"/>
    </x:xf>
    <x:xf numFmtId="200" fontId="11" fillId="0" borderId="14" xfId="0" applyNumberFormat="1" applyFont="1" applyFill="1" applyBorder="1" applyAlignment="1">
      <x:alignment vertical="center"/>
    </x:xf>
    <x:xf numFmtId="201" fontId="11" fillId="0" borderId="12" xfId="0" applyNumberFormat="1" applyFont="1" applyFill="1" applyBorder="1" applyAlignment="1">
      <x:alignment horizontal="right" vertical="center"/>
    </x:xf>
    <x:xf numFmtId="200" fontId="11" fillId="0" borderId="12" xfId="0" applyNumberFormat="1" applyFont="1" applyFill="1" applyBorder="1" applyAlignment="1">
      <x:alignment horizontal="right" vertical="center"/>
    </x:xf>
    <x:xf numFmtId="0" fontId="11" fillId="0" borderId="12" xfId="0" applyNumberFormat="1" applyFont="1" applyFill="1" applyBorder="1" applyAlignment="1">
      <x:alignment horizontal="right" vertical="center"/>
    </x:xf>
    <x:xf numFmtId="201" fontId="11" fillId="0" borderId="13" xfId="0" applyNumberFormat="1" applyFont="1" applyFill="1" applyBorder="1" applyAlignment="1">
      <x:alignment horizontal="right" vertical="center"/>
    </x:xf>
    <x:xf numFmtId="200" fontId="11" fillId="0" borderId="13" xfId="0" applyNumberFormat="1" applyFont="1" applyFill="1" applyBorder="1" applyAlignment="1">
      <x:alignment horizontal="right" vertical="center"/>
    </x:xf>
    <x:xf numFmtId="0" fontId="11" fillId="0" borderId="13" xfId="0" applyNumberFormat="1" applyFont="1" applyFill="1" applyBorder="1" applyAlignment="1">
      <x:alignment horizontal="right" vertical="center"/>
    </x:xf>
    <x:xf numFmtId="201" fontId="11" fillId="0" borderId="14" xfId="0" applyNumberFormat="1" applyFont="1" applyFill="1" applyBorder="1" applyAlignment="1">
      <x:alignment horizontal="right" vertical="center"/>
    </x:xf>
    <x:xf numFmtId="200" fontId="11" fillId="0" borderId="14" xfId="0" applyNumberFormat="1" applyFont="1" applyFill="1" applyBorder="1" applyAlignment="1">
      <x:alignment horizontal="right" vertical="center"/>
    </x:xf>
    <x:xf numFmtId="0" fontId="11" fillId="0" borderId="14" xfId="0" applyNumberFormat="1" applyFont="1" applyFill="1" applyBorder="1" applyAlignment="1">
      <x:alignment horizontal="right" vertical="center"/>
    </x:xf>
    <x:xf numFmtId="0" fontId="11" fillId="0" borderId="12" xfId="0" applyNumberFormat="1" applyFont="1" applyFill="1" applyBorder="1" applyAlignment="1">
      <x:alignment horizontal="center" vertical="center"/>
    </x:xf>
    <x:xf numFmtId="0" fontId="11" fillId="0" borderId="13" xfId="0" applyNumberFormat="1" applyFont="1" applyFill="1" applyBorder="1" applyAlignment="1">
      <x:alignment horizontal="center" vertical="center"/>
    </x:xf>
    <x:xf numFmtId="0" fontId="11" fillId="0" borderId="14" xfId="0" applyNumberFormat="1" applyFont="1" applyFill="1" applyBorder="1" applyAlignment="1">
      <x:alignment horizontal="center" vertical="center"/>
    </x:xf>
    <x:xf numFmtId="0" fontId="11" fillId="0" borderId="12" xfId="0" applyNumberFormat="1" applyFont="1" applyFill="1" applyBorder="1" applyAlignment="1">
      <x:alignment vertical="center" wrapText="1"/>
    </x:xf>
    <x:xf numFmtId="0" fontId="11" fillId="0" borderId="13" xfId="0" applyNumberFormat="1" applyFont="1" applyFill="1" applyBorder="1" applyAlignment="1">
      <x:alignment vertical="center" wrapText="1"/>
    </x:xf>
    <x:xf numFmtId="0" fontId="11" fillId="0" borderId="14" xfId="0" applyNumberFormat="1" applyFont="1" applyFill="1" applyBorder="1" applyAlignment="1">
      <x:alignment vertical="center" wrapText="1"/>
    </x:xf>
    <x:xf numFmtId="202" fontId="11" fillId="0" borderId="12" xfId="0" applyNumberFormat="1" applyFont="1" applyFill="1" applyBorder="1" applyAlignment="1">
      <x:alignment vertical="center"/>
    </x:xf>
    <x:xf numFmtId="202" fontId="11" fillId="0" borderId="13" xfId="0" applyNumberFormat="1" applyFont="1" applyFill="1" applyBorder="1" applyAlignment="1">
      <x:alignment vertical="center"/>
    </x:xf>
    <x:xf numFmtId="202" fontId="11" fillId="0" borderId="14" xfId="0" applyNumberFormat="1" applyFont="1" applyFill="1" applyBorder="1" applyAlignment="1">
      <x:alignment vertical="center"/>
    </x:xf>
    <x:xf numFmtId="203" fontId="11" fillId="0" borderId="12" xfId="0" applyNumberFormat="1" applyFont="1" applyFill="1" applyBorder="1" applyAlignment="1">
      <x:alignment vertical="center"/>
    </x:xf>
    <x:xf numFmtId="203" fontId="11" fillId="0" borderId="13" xfId="0" applyNumberFormat="1" applyFont="1" applyFill="1" applyBorder="1" applyAlignment="1">
      <x:alignment vertical="center"/>
    </x:xf>
    <x:xf numFmtId="203" fontId="11" fillId="0" borderId="14" xfId="0" applyNumberFormat="1" applyFont="1" applyFill="1" applyBorder="1" applyAlignment="1">
      <x:alignment vertical="center"/>
    </x:xf>
    <x:xf numFmtId="204" fontId="11" fillId="0" borderId="12" xfId="0" applyNumberFormat="1" applyFont="1" applyFill="1" applyBorder="1" applyAlignment="1">
      <x:alignment vertical="center"/>
    </x:xf>
    <x:xf numFmtId="204" fontId="11" fillId="0" borderId="13" xfId="0" applyNumberFormat="1" applyFont="1" applyFill="1" applyBorder="1" applyAlignment="1">
      <x:alignment vertical="center"/>
    </x:xf>
    <x:xf numFmtId="204" fontId="11" fillId="0" borderId="14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B42318"/>
      </x:font>
      <x:fill>
        <x:patternFill patternType="solid">
          <x:bgColor rgb="FFFFF1F0"/>
        </x:patternFill>
      </x:fill>
    </x:dxf>
    <x:dxf>
      <x:font>
        <x:b/>
        <x:color rgb="FF17663A"/>
      </x:font>
      <x:fill>
        <x:patternFill patternType="solid">
          <x:bgColor rgb="FFE8F5EC"/>
        </x:patternFill>
      </x:fill>
    </x:dxf>
    <x:dxf>
      <x:font>
        <x:b/>
        <x:color rgb="FFB42318"/>
      </x:font>
      <x:fill>
        <x:patternFill patternType="solid">
          <x:bgColor rgb="FFFFF1F0"/>
        </x:patternFill>
      </x:fill>
    </x:dxf>
    <x:dxf>
      <x:font>
        <x:b/>
        <x:color rgb="FF17663A"/>
      </x:font>
      <x:fill>
        <x:patternFill patternType="solid">
          <x:bgColor rgb="FFE8F5EC"/>
        </x:patternFill>
      </x:fill>
    </x:dxf>
    <x:dxf>
      <x:font>
        <x:b/>
        <x:color rgb="FFB42318"/>
      </x:font>
      <x:fill>
        <x:patternFill patternType="solid">
          <x:bgColor rgb="FFFFF1F0"/>
        </x:patternFill>
      </x:fill>
    </x:dxf>
    <x:dxf>
      <x:font>
        <x:b/>
        <x:color rgb="FF17663A"/>
      </x:font>
      <x:fill>
        <x:patternFill patternType="solid">
          <x:bgColor rgb="FFE8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3f62b1d1e43ea" /><Relationship Type="http://schemas.openxmlformats.org/officeDocument/2006/relationships/theme" Target="/xl/theme/theme1.xml" Id="R3093bbdf2fae41e1" /><Relationship Type="http://schemas.openxmlformats.org/officeDocument/2006/relationships/sharedStrings" Target="/xl/sharedStrings.xml" Id="R8b06582e964241e9" /><Relationship Type="http://schemas.openxmlformats.org/officeDocument/2006/relationships/worksheet" Target="/xl/worksheets/sheet1.xml" Id="Rc0d6d4a85df44a98" /><Relationship Type="http://schemas.openxmlformats.org/officeDocument/2006/relationships/worksheet" Target="/xl/worksheets/sheet2.xml" Id="Rc0c7368997af4610" /><Relationship Type="http://schemas.openxmlformats.org/officeDocument/2006/relationships/worksheet" Target="/xl/worksheets/sheet3.xml" Id="Re60e206dd0104f0e" /><Relationship Type="http://schemas.openxmlformats.org/officeDocument/2006/relationships/worksheet" Target="/xl/worksheets/sheet4.xml" Id="R5778eff543f24878" /></Relationships>
</file>

<file path=xl/tables/table1.xml><?xml version="1.0" encoding="utf-8"?>
<x:table xmlns:x="http://schemas.openxmlformats.org/spreadsheetml/2006/main" id="1" name="SkuPriceTable" displayName="SkuPriceTable" ref="A4:V68" headerRowCount="1" totalsRowCount="0" totalsRowShown="0">
  <x:tableColumns count="22">
    <x:tableColumn id="1" name="商品编码"/>
    <x:tableColumn id="2" name="商品名称"/>
    <x:tableColumn id="3" name="分类"/>
    <x:tableColumn id="4" name="SKU编码"/>
    <x:tableColumn id="5" name="规格"/>
    <x:tableColumn id="6" name="单位"/>
    <x:tableColumn id="7" name="履约方"/>
    <x:tableColumn id="8" name="履约类型"/>
    <x:tableColumn id="9" name="履约方SKU编码"/>
    <x:tableColumn id="10" name="SKU进货价"/>
    <x:tableColumn id="11" name="SKU零售价"/>
    <x:tableColumn id="12" name="SKU毛利额"/>
    <x:tableColumn id="13" name="SKU毛利率"/>
    <x:tableColumn id="14" name="价格状态"/>
    <x:tableColumn id="15" name="商品进货价"/>
    <x:tableColumn id="16" name="商品零售价"/>
    <x:tableColumn id="17" name="商品其他成本"/>
    <x:tableColumn id="18" name="商品毛利额"/>
    <x:tableColumn id="19" name="商品状态"/>
    <x:tableColumn id="20" name="SKU状态"/>
    <x:tableColumn id="21" name="条码"/>
    <x:tableColumn id="22" name="SKU更新时间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roductPriceSummaryTable" displayName="ProductPriceSummaryTable" ref="A4:Q67" headerRowCount="1" totalsRowCount="0" totalsRowShown="0">
  <x:tableColumns count="17">
    <x:tableColumn id="1" name="商品编码"/>
    <x:tableColumn id="2" name="商品名称"/>
    <x:tableColumn id="3" name="分类"/>
    <x:tableColumn id="4" name="SKU数"/>
    <x:tableColumn id="5" name="SKU已定进货价数"/>
    <x:tableColumn id="6" name="SKU已定零售价数"/>
    <x:tableColumn id="7" name="SKU最低进货价"/>
    <x:tableColumn id="8" name="SKU最高进货价"/>
    <x:tableColumn id="9" name="SKU最低零售价"/>
    <x:tableColumn id="10" name="SKU最高零售价"/>
    <x:tableColumn id="11" name="商品进货价"/>
    <x:tableColumn id="12" name="商品零售价"/>
    <x:tableColumn id="13" name="其他成本"/>
    <x:tableColumn id="14" name="商品毛利额"/>
    <x:tableColumn id="15" name="商品级价格状态"/>
    <x:tableColumn id="16" name="商品状态"/>
    <x:tableColumn id="17" name="商品更新时间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istingBundleCostTable" displayName="ExistingBundleCostTable" ref="A4:P36" headerRowCount="1" totalsRowCount="0" totalsRowShown="0">
  <x:tableColumns count="16">
    <x:tableColumn id="1" name="礼包编码"/>
    <x:tableColumn id="2" name="礼包名称"/>
    <x:tableColumn id="3" name="分类"/>
    <x:tableColumn id="4" name="履约方"/>
    <x:tableColumn id="5" name="状态"/>
    <x:tableColumn id="6" name="组件行数"/>
    <x:tableColumn id="7" name="组件总件数"/>
    <x:tableColumn id="8" name="缺进货价组件行"/>
    <x:tableColumn id="9" name="核算状态"/>
    <x:tableColumn id="10" name="已知进货价小计"/>
    <x:tableColumn id="11" name="完整进货成本"/>
    <x:tableColumn id="12" name="已知零售价小计"/>
    <x:tableColumn id="13" name="完整零售价合计"/>
    <x:tableColumn id="14" name="结算成本"/>
    <x:tableColumn id="15" name="税率"/>
    <x:tableColumn id="16" name="礼包更新时间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5ceb5be12448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50a280381347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e2c8b3509441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2" hidden="0" customWidth="1"/>
  </x:cols>
  <x:sheetData>
    <x:row r="1" ht="34" customHeight="1">
      <x:c r="A1" s="4" t="str">
        <x:v>子牧｜当前商品价格表</x:v>
      </x:c>
      <x:c r="B1" s="4" t="str">
        <x:v>子牧｜当前商品价格表</x:v>
      </x:c>
      <x:c r="C1" s="4" t="str">
        <x:v>子牧｜当前商品价格表</x:v>
      </x:c>
      <x:c r="D1" s="4" t="str">
        <x:v>子牧｜当前商品价格表</x:v>
      </x:c>
      <x:c r="E1" s="4" t="str">
        <x:v>子牧｜当前商品价格表</x:v>
      </x:c>
      <x:c r="F1" s="4" t="str">
        <x:v>子牧｜当前商品价格表</x:v>
      </x:c>
      <x:c r="G1" s="4" t="str">
        <x:v>子牧｜当前商品价格表</x:v>
      </x:c>
      <x:c r="H1" s="4" t="str">
        <x:v>子牧｜当前商品价格表</x:v>
      </x:c>
    </x:row>
    <x:row r="2" ht="30" customHeight="1">
      <x:c r="A2" s="9" t="str">
        <x:v>数据库只读快照。用于核对当前商品/SKU价格，并为后续按价位组合礼品包做准备。</x:v>
      </x:c>
      <x:c r="B2" s="9" t="str">
        <x:v>数据库只读快照。用于核对当前商品/SKU价格，并为后续按价位组合礼品包做准备。</x:v>
      </x:c>
      <x:c r="C2" s="9" t="str">
        <x:v>数据库只读快照。用于核对当前商品/SKU价格，并为后续按价位组合礼品包做准备。</x:v>
      </x:c>
      <x:c r="D2" s="9" t="str">
        <x:v>数据库只读快照。用于核对当前商品/SKU价格，并为后续按价位组合礼品包做准备。</x:v>
      </x:c>
      <x:c r="E2" s="9" t="str">
        <x:v>数据库只读快照。用于核对当前商品/SKU价格，并为后续按价位组合礼品包做准备。</x:v>
      </x:c>
      <x:c r="F2" s="9" t="str">
        <x:v>数据库只读快照。用于核对当前商品/SKU价格，并为后续按价位组合礼品包做准备。</x:v>
      </x:c>
      <x:c r="G2" s="9" t="str">
        <x:v>数据库只读快照。用于核对当前商品/SKU价格，并为后续按价位组合礼品包做准备。</x:v>
      </x:c>
      <x:c r="H2" s="9" t="str">
        <x:v>数据库只读快照。用于核对当前商品/SKU价格，并为后续按价位组合礼品包做准备。</x:v>
      </x:c>
    </x:row>
    <x:row r="4">
      <x:c r="A4" s="17" t="str">
        <x:v>数据来源</x:v>
      </x:c>
      <x:c r="B4" s="18" t="str">
        <x:v>本机真实业务库 zimu-fulfillment_postgres-data / app schema</x:v>
      </x:c>
    </x:row>
    <x:row r="5">
      <x:c r="A5" s="19" t="str">
        <x:v>数据库快照时间</x:v>
      </x:c>
      <x:c r="B5" s="20" t="str">
        <x:v>2026-08-24 15:02:34+08:00</x:v>
      </x:c>
    </x:row>
    <x:row r="6">
      <x:c r="A6" s="19" t="str">
        <x:v>SKU价格最后更新</x:v>
      </x:c>
      <x:c r="B6" s="20" t="str">
        <x:v>2026-08-21 10:50:11+08:00</x:v>
      </x:c>
    </x:row>
    <x:row r="7">
      <x:c r="A7" s="21" t="str">
        <x:v>价格口径</x:v>
      </x:c>
      <x:c r="B7" s="22" t="str">
        <x:v>SKU进货价与SKU零售价是可履约规格的价格；商品级价格独立展示，不自动替代SKU价格。</x:v>
      </x:c>
    </x:row>
    <x:row r="9" ht="26" customHeight="1">
      <x:c r="A9" s="25" t="str">
        <x:v>SKU总数</x:v>
      </x:c>
      <x:c r="B9" s="25" t="str"/>
      <x:c r="C9" s="25" t="str">
        <x:v>价格完整SKU</x:v>
      </x:c>
      <x:c r="D9" s="25" t="str"/>
      <x:c r="E9" s="25" t="str">
        <x:v>待补价SKU</x:v>
      </x:c>
      <x:c r="F9" s="25" t="str"/>
      <x:c r="G9" s="25" t="str">
        <x:v>SKU价格覆盖率</x:v>
      </x:c>
      <x:c r="H9" s="25" t="str"/>
    </x:row>
    <x:row r="10" ht="26" customHeight="1">
      <x:c r="A10" s="29" t="n">
        <x:f>COUNTA('SKU价格明细'!D5:D68)</x:f>
        <x:v>64</x:v>
      </x:c>
      <x:c r="B10" s="29"/>
      <x:c r="C10" s="29" t="n">
        <x:f>COUNTIF('SKU价格明细'!N5:N68,"已完整")</x:f>
        <x:v>29</x:v>
      </x:c>
      <x:c r="D10" s="29"/>
      <x:c r="E10" s="29" t="n">
        <x:f>COUNTIF('SKU价格明细'!N5:N68,"待补价")</x:f>
        <x:v>35</x:v>
      </x:c>
      <x:c r="F10" s="29"/>
      <x:c r="G10" s="30" t="n">
        <x:f>IFERROR(C10/A10,0)</x:f>
        <x:v>0.453125</x:v>
      </x:c>
      <x:c r="H10" s="30"/>
    </x:row>
    <x:row r="12" ht="26" customHeight="1">
      <x:c r="A12" s="34" t="str">
        <x:v>现有礼包数</x:v>
      </x:c>
      <x:c r="B12" s="34" t="str"/>
      <x:c r="C12" s="34" t="str">
        <x:v>可完整核算礼包</x:v>
      </x:c>
      <x:c r="D12" s="34" t="str"/>
      <x:c r="E12" s="34" t="str">
        <x:v>存在价格缺口礼包</x:v>
      </x:c>
      <x:c r="F12" s="34" t="str"/>
      <x:c r="G12" s="34" t="str">
        <x:v>商品级价格完整数</x:v>
      </x:c>
      <x:c r="H12" s="34" t="str"/>
    </x:row>
    <x:row r="13" ht="26" customHeight="1">
      <x:c r="A13" s="38" t="n">
        <x:f>COUNTA('现有礼包成本参考'!A5:A36)</x:f>
        <x:v>32</x:v>
      </x:c>
      <x:c r="B13" s="38"/>
      <x:c r="C13" s="38" t="n">
        <x:f>COUNTIF('现有礼包成本参考'!I5:I36,"可完整核算")</x:f>
        <x:v>8</x:v>
      </x:c>
      <x:c r="D13" s="38"/>
      <x:c r="E13" s="38" t="n">
        <x:f>COUNTIF('现有礼包成本参考'!I5:I36,"存在价格缺口")</x:f>
        <x:v>24</x:v>
      </x:c>
      <x:c r="F13" s="38"/>
      <x:c r="G13" s="38" t="n">
        <x:f>COUNTIF('商品价格汇总'!O5:O67,"商品级已完整")</x:f>
        <x:v>2</x:v>
      </x:c>
      <x:c r="H13" s="38"/>
    </x:row>
    <x:row r="15">
      <x:c r="A15" s="40" t="str">
        <x:v>后续配包前需要先确认</x:v>
      </x:c>
      <x:c r="B15" s="40" t="str">
        <x:v>后续配包前需要先确认</x:v>
      </x:c>
      <x:c r="C15" s="40" t="str">
        <x:v>后续配包前需要先确认</x:v>
      </x:c>
      <x:c r="D15" s="40" t="str">
        <x:v>后续配包前需要先确认</x:v>
      </x:c>
      <x:c r="E15" s="40" t="str">
        <x:v>后续配包前需要先确认</x:v>
      </x:c>
      <x:c r="F15" s="40" t="str">
        <x:v>后续配包前需要先确认</x:v>
      </x:c>
      <x:c r="G15" s="40" t="str">
        <x:v>后续配包前需要先确认</x:v>
      </x:c>
      <x:c r="H15" s="40" t="str">
        <x:v>后续配包前需要先确认</x:v>
      </x:c>
    </x:row>
    <x:row r="16" ht="25" customHeight="1">
      <x:c r="A16" s="48" t="str">
        <x:v>1. 目标价位：例如 299 / 399 / 499 / 699 元。</x:v>
      </x:c>
      <x:c r="B16" s="48"/>
      <x:c r="C16" s="48"/>
      <x:c r="D16" s="48"/>
      <x:c r="E16" s="48"/>
      <x:c r="F16" s="48"/>
      <x:c r="G16" s="48"/>
      <x:c r="H16" s="48"/>
    </x:row>
    <x:row r="17" ht="25" customHeight="1">
      <x:c r="A17" s="49" t="str">
        <x:v>2. 价位口径：按礼包零售价，还是按采购成本上限。</x:v>
      </x:c>
      <x:c r="B17" s="49"/>
      <x:c r="C17" s="49"/>
      <x:c r="D17" s="49"/>
      <x:c r="E17" s="49"/>
      <x:c r="F17" s="49"/>
      <x:c r="G17" s="49"/>
      <x:c r="H17" s="49"/>
    </x:row>
    <x:row r="18" ht="25" customHeight="1">
      <x:c r="A18" s="49" t="str">
        <x:v>3. 约束：牛/羊/猪比例、重量、件数、必选/禁选商品、履约方、目标毛利。</x:v>
      </x:c>
      <x:c r="B18" s="49"/>
      <x:c r="C18" s="49"/>
      <x:c r="D18" s="49"/>
      <x:c r="E18" s="49"/>
      <x:c r="F18" s="49"/>
      <x:c r="G18" s="49"/>
      <x:c r="H18" s="49"/>
    </x:row>
    <x:row r="19" ht="25" customHeight="1">
      <x:c r="A19" s="50" t="str">
        <x:v>4. 当前缺价SKU不会进入可核算组合；如需使用，应先补齐SKU进货价和零售价。</x:v>
      </x:c>
      <x:c r="B19" s="50"/>
      <x:c r="C19" s="50"/>
      <x:c r="D19" s="50"/>
      <x:c r="E19" s="50"/>
      <x:c r="F19" s="50"/>
      <x:c r="G19" s="50"/>
      <x:c r="H19" s="50"/>
    </x:row>
  </x:sheetData>
  <x:mergeCells>
    <x:mergeCell ref="A1:H1"/>
    <x:mergeCell ref="A2:H2"/>
    <x:mergeCell ref="A9:B9"/>
    <x:mergeCell ref="A10:B10"/>
    <x:mergeCell ref="C9:D9"/>
    <x:mergeCell ref="C10:D10"/>
    <x:mergeCell ref="E9:F9"/>
    <x:mergeCell ref="E10:F10"/>
    <x:mergeCell ref="G9:H9"/>
    <x:mergeCell ref="G10:H10"/>
    <x:mergeCell ref="A12:B12"/>
    <x:mergeCell ref="A13:B13"/>
    <x:mergeCell ref="C12:D12"/>
    <x:mergeCell ref="C13:D13"/>
    <x:mergeCell ref="E12:F12"/>
    <x:mergeCell ref="E13:F13"/>
    <x:mergeCell ref="G12:H12"/>
    <x:mergeCell ref="G13:H13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2" hidden="0" customWidth="1"/>
    <x:col min="3" max="3" width="11" hidden="0" customWidth="1"/>
    <x:col min="4" max="4" width="17" hidden="0" customWidth="1"/>
    <x:col min="5" max="5" width="13" hidden="0" customWidth="1"/>
    <x:col min="6" max="6" width="8" hidden="0" customWidth="1"/>
    <x:col min="7" max="7" width="14" hidden="0" customWidth="1"/>
    <x:col min="8" max="8" width="18" hidden="0" customWidth="1"/>
    <x:col min="9" max="9" width="24" hidden="0" customWidth="1"/>
    <x:col min="10" max="10" width="12" hidden="0" customWidth="1"/>
    <x:col min="11" max="11" width="12" hidden="0" customWidth="1"/>
    <x:col min="12" max="12" width="12" hidden="0" customWidth="1"/>
    <x:col min="13" max="13" width="11" hidden="0" customWidth="1"/>
    <x:col min="14" max="14" width="12" hidden="0" customWidth="1"/>
    <x:col min="15" max="15" width="12" hidden="0" customWidth="1"/>
    <x:col min="16" max="16" width="12" hidden="0" customWidth="1"/>
    <x:col min="17" max="17" width="13" hidden="0" customWidth="1"/>
    <x:col min="18" max="18" width="12" hidden="0" customWidth="1"/>
    <x:col min="19" max="19" width="10" hidden="0" customWidth="1"/>
    <x:col min="20" max="20" width="10" hidden="0" customWidth="1"/>
    <x:col min="21" max="21" width="17" hidden="0" customWidth="1"/>
    <x:col min="22" max="22" width="21" hidden="0" customWidth="1"/>
  </x:cols>
  <x:sheetData>
    <x:row r="1" ht="34" customHeight="1">
      <x:c r="A1" s="4" t="str">
        <x:v>SKU价格明细</x:v>
      </x:c>
      <x:c r="B1" s="4" t="str">
        <x:v>SKU价格明细</x:v>
      </x:c>
      <x:c r="C1" s="4" t="str">
        <x:v>SKU价格明细</x:v>
      </x:c>
      <x:c r="D1" s="4" t="str">
        <x:v>SKU价格明细</x:v>
      </x:c>
      <x:c r="E1" s="4" t="str">
        <x:v>SKU价格明细</x:v>
      </x:c>
      <x:c r="F1" s="4" t="str">
        <x:v>SKU价格明细</x:v>
      </x:c>
      <x:c r="G1" s="4" t="str">
        <x:v>SKU价格明细</x:v>
      </x:c>
      <x:c r="H1" s="4" t="str">
        <x:v>SKU价格明细</x:v>
      </x:c>
      <x:c r="I1" s="4" t="str">
        <x:v>SKU价格明细</x:v>
      </x:c>
      <x:c r="J1" s="4" t="str">
        <x:v>SKU价格明细</x:v>
      </x:c>
      <x:c r="K1" s="4" t="str">
        <x:v>SKU价格明细</x:v>
      </x:c>
      <x:c r="L1" s="4" t="str">
        <x:v>SKU价格明细</x:v>
      </x:c>
      <x:c r="M1" s="4" t="str">
        <x:v>SKU价格明细</x:v>
      </x:c>
      <x:c r="N1" s="4" t="str">
        <x:v>SKU价格明细</x:v>
      </x:c>
      <x:c r="O1" s="4" t="str">
        <x:v>SKU价格明细</x:v>
      </x:c>
      <x:c r="P1" s="4" t="str">
        <x:v>SKU价格明细</x:v>
      </x:c>
      <x:c r="Q1" s="4" t="str">
        <x:v>SKU价格明细</x:v>
      </x:c>
      <x:c r="R1" s="4" t="str">
        <x:v>SKU价格明细</x:v>
      </x:c>
      <x:c r="S1" s="4" t="str">
        <x:v>SKU价格明细</x:v>
      </x:c>
      <x:c r="T1" s="4" t="str">
        <x:v>SKU价格明细</x:v>
      </x:c>
      <x:c r="U1" s="4" t="str">
        <x:v>SKU价格明细</x:v>
      </x:c>
      <x:c r="V1" s="4" t="str">
        <x:v>SKU价格明细</x:v>
      </x:c>
    </x:row>
    <x:row r="2" ht="30" customHeight="1">
      <x:c r="A2" s="9" t="str">
        <x:v>每行是一条可履约SKU。SKU价格为空即表示当前系统未维护；商品级价格仅作对照。</x:v>
      </x:c>
      <x:c r="B2" s="9" t="str">
        <x:v>每行是一条可履约SKU。SKU价格为空即表示当前系统未维护；商品级价格仅作对照。</x:v>
      </x:c>
      <x:c r="C2" s="9" t="str">
        <x:v>每行是一条可履约SKU。SKU价格为空即表示当前系统未维护；商品级价格仅作对照。</x:v>
      </x:c>
      <x:c r="D2" s="9" t="str">
        <x:v>每行是一条可履约SKU。SKU价格为空即表示当前系统未维护；商品级价格仅作对照。</x:v>
      </x:c>
      <x:c r="E2" s="9" t="str">
        <x:v>每行是一条可履约SKU。SKU价格为空即表示当前系统未维护；商品级价格仅作对照。</x:v>
      </x:c>
      <x:c r="F2" s="9" t="str">
        <x:v>每行是一条可履约SKU。SKU价格为空即表示当前系统未维护；商品级价格仅作对照。</x:v>
      </x:c>
      <x:c r="G2" s="9" t="str">
        <x:v>每行是一条可履约SKU。SKU价格为空即表示当前系统未维护；商品级价格仅作对照。</x:v>
      </x:c>
      <x:c r="H2" s="9" t="str">
        <x:v>每行是一条可履约SKU。SKU价格为空即表示当前系统未维护；商品级价格仅作对照。</x:v>
      </x:c>
      <x:c r="I2" s="9" t="str">
        <x:v>每行是一条可履约SKU。SKU价格为空即表示当前系统未维护；商品级价格仅作对照。</x:v>
      </x:c>
      <x:c r="J2" s="9" t="str">
        <x:v>每行是一条可履约SKU。SKU价格为空即表示当前系统未维护；商品级价格仅作对照。</x:v>
      </x:c>
      <x:c r="K2" s="9" t="str">
        <x:v>每行是一条可履约SKU。SKU价格为空即表示当前系统未维护；商品级价格仅作对照。</x:v>
      </x:c>
      <x:c r="L2" s="9" t="str">
        <x:v>每行是一条可履约SKU。SKU价格为空即表示当前系统未维护；商品级价格仅作对照。</x:v>
      </x:c>
      <x:c r="M2" s="9" t="str">
        <x:v>每行是一条可履约SKU。SKU价格为空即表示当前系统未维护；商品级价格仅作对照。</x:v>
      </x:c>
      <x:c r="N2" s="9" t="str">
        <x:v>每行是一条可履约SKU。SKU价格为空即表示当前系统未维护；商品级价格仅作对照。</x:v>
      </x:c>
      <x:c r="O2" s="9" t="str">
        <x:v>每行是一条可履约SKU。SKU价格为空即表示当前系统未维护；商品级价格仅作对照。</x:v>
      </x:c>
      <x:c r="P2" s="9" t="str">
        <x:v>每行是一条可履约SKU。SKU价格为空即表示当前系统未维护；商品级价格仅作对照。</x:v>
      </x:c>
      <x:c r="Q2" s="9" t="str">
        <x:v>每行是一条可履约SKU。SKU价格为空即表示当前系统未维护；商品级价格仅作对照。</x:v>
      </x:c>
      <x:c r="R2" s="9" t="str">
        <x:v>每行是一条可履约SKU。SKU价格为空即表示当前系统未维护；商品级价格仅作对照。</x:v>
      </x:c>
      <x:c r="S2" s="9" t="str">
        <x:v>每行是一条可履约SKU。SKU价格为空即表示当前系统未维护；商品级价格仅作对照。</x:v>
      </x:c>
      <x:c r="T2" s="9" t="str">
        <x:v>每行是一条可履约SKU。SKU价格为空即表示当前系统未维护；商品级价格仅作对照。</x:v>
      </x:c>
      <x:c r="U2" s="9" t="str">
        <x:v>每行是一条可履约SKU。SKU价格为空即表示当前系统未维护；商品级价格仅作对照。</x:v>
      </x:c>
      <x:c r="V2" s="9" t="str">
        <x:v>每行是一条可履约SKU。SKU价格为空即表示当前系统未维护；商品级价格仅作对照。</x:v>
      </x:c>
    </x:row>
    <x:row r="4" ht="30" customHeight="1">
      <x:c r="A4" s="56" t="str">
        <x:v>商品编码</x:v>
      </x:c>
      <x:c r="B4" s="56" t="str">
        <x:v>商品名称</x:v>
      </x:c>
      <x:c r="C4" s="56" t="str">
        <x:v>分类</x:v>
      </x:c>
      <x:c r="D4" s="56" t="str">
        <x:v>SKU编码</x:v>
      </x:c>
      <x:c r="E4" s="56" t="str">
        <x:v>规格</x:v>
      </x:c>
      <x:c r="F4" s="56" t="str">
        <x:v>单位</x:v>
      </x:c>
      <x:c r="G4" s="56" t="str">
        <x:v>履约方</x:v>
      </x:c>
      <x:c r="H4" s="56" t="str">
        <x:v>履约类型</x:v>
      </x:c>
      <x:c r="I4" s="56" t="str">
        <x:v>履约方SKU编码</x:v>
      </x:c>
      <x:c r="J4" s="56" t="str">
        <x:v>SKU进货价</x:v>
      </x:c>
      <x:c r="K4" s="56" t="str">
        <x:v>SKU零售价</x:v>
      </x:c>
      <x:c r="L4" s="56" t="str">
        <x:v>SKU毛利额</x:v>
      </x:c>
      <x:c r="M4" s="56" t="str">
        <x:v>SKU毛利率</x:v>
      </x:c>
      <x:c r="N4" s="56" t="str">
        <x:v>价格状态</x:v>
      </x:c>
      <x:c r="O4" s="56" t="str">
        <x:v>商品进货价</x:v>
      </x:c>
      <x:c r="P4" s="56" t="str">
        <x:v>商品零售价</x:v>
      </x:c>
      <x:c r="Q4" s="56" t="str">
        <x:v>商品其他成本</x:v>
      </x:c>
      <x:c r="R4" s="56" t="str">
        <x:v>商品毛利额</x:v>
      </x:c>
      <x:c r="S4" s="56" t="str">
        <x:v>商品状态</x:v>
      </x:c>
      <x:c r="T4" s="56" t="str">
        <x:v>SKU状态</x:v>
      </x:c>
      <x:c r="U4" s="56" t="str">
        <x:v>条码</x:v>
      </x:c>
      <x:c r="V4" s="56" t="str">
        <x:v>SKU更新时间</x:v>
      </x:c>
    </x:row>
    <x:row r="5">
      <x:c r="A5" s="61" t="str">
        <x:v>PROD-JD-EMG4418727167063</x:v>
      </x:c>
      <x:c r="B5" s="82" t="str">
        <x:v>鸵鸟凤尾肉排80g</x:v>
      </x:c>
      <x:c r="C5" s="61" t="str">
        <x:v>其他肉类</x:v>
      </x:c>
      <x:c r="D5" s="61" t="str">
        <x:v>SKU-JD-000043</x:v>
      </x:c>
      <x:c r="E5" s="61" t="str">
        <x:v>80g</x:v>
      </x:c>
      <x:c r="F5" s="61" t="str">
        <x:v>件</x:v>
      </x:c>
      <x:c r="G5" s="61" t="str">
        <x:v>京东云仓</x:v>
      </x:c>
      <x:c r="H5" s="61" t="str">
        <x:v>JD_WAREHOUSE</x:v>
      </x:c>
      <x:c r="I5" s="61" t="str">
        <x:v>EMG4418727167063</x:v>
      </x:c>
      <x:c r="J5" s="70"/>
      <x:c r="K5" s="70"/>
      <x:c r="L5" s="70" t="str">
        <x:f>IF(OR(J5="",K5=""),"",K5-J5)</x:f>
      </x:c>
      <x:c r="M5" s="71" t="str">
        <x:f>IFERROR(L5/K5,"")</x:f>
      </x:c>
      <x:c r="N5" s="79" t="str">
        <x:f>IF(AND(J5&lt;&gt;"",K5&lt;&gt;""),"已完整",IF(AND(J5="",K5=""),"待补价","价格不完整"))</x:f>
        <x:v>待补价</x:v>
      </x:c>
      <x:c r="O5" s="70"/>
      <x:c r="P5" s="70"/>
      <x:c r="Q5" s="70"/>
      <x:c r="R5" s="70" t="str">
        <x:f>IF(OR(O5="",P5=""),"",P5-O5-IF(Q5="",0,Q5))</x:f>
      </x:c>
      <x:c r="S5" s="79" t="str">
        <x:v>启用</x:v>
      </x:c>
      <x:c r="T5" s="79" t="str">
        <x:v>启用</x:v>
      </x:c>
      <x:c r="U5" s="61" t="str"/>
      <x:c r="V5" s="61" t="str">
        <x:v>2026-08-17 10:10:24+08:00</x:v>
      </x:c>
    </x:row>
    <x:row r="6">
      <x:c r="A6" s="62" t="str">
        <x:v>PROD-JD-EMG4418727167063</x:v>
      </x:c>
      <x:c r="B6" s="83" t="str">
        <x:v>鸵鸟凤尾肉排80g</x:v>
      </x:c>
      <x:c r="C6" s="62" t="str">
        <x:v>其他肉类</x:v>
      </x:c>
      <x:c r="D6" s="62" t="str">
        <x:v>SKU-TP-000062</x:v>
      </x:c>
      <x:c r="E6" s="62" t="str">
        <x:v>80g</x:v>
      </x:c>
      <x:c r="F6" s="62" t="str">
        <x:v>件</x:v>
      </x:c>
      <x:c r="G6" s="62" t="str">
        <x:v>第三方履约</x:v>
      </x:c>
      <x:c r="H6" s="62" t="str">
        <x:v>THIRD_PARTY</x:v>
      </x:c>
      <x:c r="I6" s="62" t="str"/>
      <x:c r="J6" s="73"/>
      <x:c r="K6" s="73"/>
      <x:c r="L6" s="73" t="str">
        <x:f>IF(OR(J6="",K6=""),"",K6-J6)</x:f>
      </x:c>
      <x:c r="M6" s="74" t="str">
        <x:f>IFERROR(L6/K6,"")</x:f>
      </x:c>
      <x:c r="N6" s="80" t="str">
        <x:f>IF(AND(J6&lt;&gt;"",K6&lt;&gt;""),"已完整",IF(AND(J6="",K6=""),"待补价","价格不完整"))</x:f>
        <x:v>待补价</x:v>
      </x:c>
      <x:c r="O6" s="73"/>
      <x:c r="P6" s="73"/>
      <x:c r="Q6" s="73"/>
      <x:c r="R6" s="73" t="str">
        <x:f>IF(OR(O6="",P6=""),"",P6-O6-IF(Q6="",0,Q6))</x:f>
      </x:c>
      <x:c r="S6" s="80" t="str">
        <x:v>启用</x:v>
      </x:c>
      <x:c r="T6" s="80" t="str">
        <x:v>启用</x:v>
      </x:c>
      <x:c r="U6" s="62" t="str"/>
      <x:c r="V6" s="62" t="str">
        <x:v>2026-08-20 17:04:32+08:00</x:v>
      </x:c>
    </x:row>
    <x:row r="7">
      <x:c r="A7" s="62" t="str">
        <x:v>PROD-JD-EMG4418727168035</x:v>
      </x:c>
      <x:c r="B7" s="83" t="str">
        <x:v>小龙坎火锅拼盘(4拼)</x:v>
      </x:c>
      <x:c r="C7" s="62" t="str">
        <x:v>混合组合</x:v>
      </x:c>
      <x:c r="D7" s="62" t="str">
        <x:v>SKU-JD-000036</x:v>
      </x:c>
      <x:c r="E7" s="62" t="str">
        <x:v>800g</x:v>
      </x:c>
      <x:c r="F7" s="62" t="str">
        <x:v>件</x:v>
      </x:c>
      <x:c r="G7" s="62" t="str">
        <x:v>京东云仓</x:v>
      </x:c>
      <x:c r="H7" s="62" t="str">
        <x:v>JD_WAREHOUSE</x:v>
      </x:c>
      <x:c r="I7" s="62" t="str">
        <x:v>EMG4418727168035</x:v>
      </x:c>
      <x:c r="J7" s="73" t="n">
        <x:v>58</x:v>
      </x:c>
      <x:c r="K7" s="73" t="n">
        <x:v>108</x:v>
      </x:c>
      <x:c r="L7" s="73" t="n">
        <x:f>IF(OR(J7="",K7=""),"",K7-J7)</x:f>
        <x:v>50</x:v>
      </x:c>
      <x:c r="M7" s="74" t="n">
        <x:f>IFERROR(L7/K7,"")</x:f>
        <x:v>0.46296296296296297</x:v>
      </x:c>
      <x:c r="N7" s="80" t="str">
        <x:f>IF(AND(J7&lt;&gt;"",K7&lt;&gt;""),"已完整",IF(AND(J7="",K7=""),"待补价","价格不完整"))</x:f>
        <x:v>已完整</x:v>
      </x:c>
      <x:c r="O7" s="73"/>
      <x:c r="P7" s="73"/>
      <x:c r="Q7" s="73"/>
      <x:c r="R7" s="73" t="str">
        <x:f>IF(OR(O7="",P7=""),"",P7-O7-IF(Q7="",0,Q7))</x:f>
      </x:c>
      <x:c r="S7" s="80" t="str">
        <x:v>启用</x:v>
      </x:c>
      <x:c r="T7" s="80" t="str">
        <x:v>启用</x:v>
      </x:c>
      <x:c r="U7" s="62" t="str"/>
      <x:c r="V7" s="62" t="str">
        <x:v>2026-08-17 10:10:24+08:00</x:v>
      </x:c>
    </x:row>
    <x:row r="8">
      <x:c r="A8" s="62" t="str">
        <x:v>PROD-JD-EMG4418691848450</x:v>
      </x:c>
      <x:c r="B8" s="83" t="str">
        <x:v>小龙坎火锅拼盘(6拼)</x:v>
      </x:c>
      <x:c r="C8" s="62" t="str">
        <x:v>混合组合</x:v>
      </x:c>
      <x:c r="D8" s="62" t="str">
        <x:v>SKU-JD-000014</x:v>
      </x:c>
      <x:c r="E8" s="62" t="str">
        <x:v>1.2kg</x:v>
      </x:c>
      <x:c r="F8" s="62" t="str">
        <x:v>件</x:v>
      </x:c>
      <x:c r="G8" s="62" t="str">
        <x:v>京东云仓</x:v>
      </x:c>
      <x:c r="H8" s="62" t="str">
        <x:v>JD_WAREHOUSE</x:v>
      </x:c>
      <x:c r="I8" s="62" t="str">
        <x:v>EMG4418691848450</x:v>
      </x:c>
      <x:c r="J8" s="73" t="n">
        <x:v>99</x:v>
      </x:c>
      <x:c r="K8" s="73" t="n">
        <x:v>152.25</x:v>
      </x:c>
      <x:c r="L8" s="73" t="n">
        <x:f>IF(OR(J8="",K8=""),"",K8-J8)</x:f>
        <x:v>53.25</x:v>
      </x:c>
      <x:c r="M8" s="74" t="n">
        <x:f>IFERROR(L8/K8,"")</x:f>
        <x:v>0.3497536945812808</x:v>
      </x:c>
      <x:c r="N8" s="80" t="str">
        <x:f>IF(AND(J8&lt;&gt;"",K8&lt;&gt;""),"已完整",IF(AND(J8="",K8=""),"待补价","价格不完整"))</x:f>
        <x:v>已完整</x:v>
      </x:c>
      <x:c r="O8" s="73"/>
      <x:c r="P8" s="73"/>
      <x:c r="Q8" s="73"/>
      <x:c r="R8" s="73" t="str">
        <x:f>IF(OR(O8="",P8=""),"",P8-O8-IF(Q8="",0,Q8))</x:f>
      </x:c>
      <x:c r="S8" s="80" t="str">
        <x:v>启用</x:v>
      </x:c>
      <x:c r="T8" s="80" t="str">
        <x:v>启用</x:v>
      </x:c>
      <x:c r="U8" s="62" t="str"/>
      <x:c r="V8" s="62" t="str">
        <x:v>2026-08-17 10:10:24+08:00</x:v>
      </x:c>
    </x:row>
    <x:row r="9">
      <x:c r="A9" s="62" t="str">
        <x:v>PROD-JD-EMG4419279687164</x:v>
      </x:c>
      <x:c r="B9" s="83" t="str">
        <x:v>牛羊肉烧烤组合</x:v>
      </x:c>
      <x:c r="C9" s="62" t="str">
        <x:v>混合组合</x:v>
      </x:c>
      <x:c r="D9" s="62" t="str">
        <x:v>SKU-JD-000061</x:v>
      </x:c>
      <x:c r="E9" s="62" t="str">
        <x:v>待维护</x:v>
      </x:c>
      <x:c r="F9" s="62" t="str">
        <x:v>件</x:v>
      </x:c>
      <x:c r="G9" s="62" t="str">
        <x:v>京东云仓</x:v>
      </x:c>
      <x:c r="H9" s="62" t="str">
        <x:v>JD_WAREHOUSE</x:v>
      </x:c>
      <x:c r="I9" s="62" t="str">
        <x:v>EMG4419279687164</x:v>
      </x:c>
      <x:c r="J9" s="73"/>
      <x:c r="K9" s="73"/>
      <x:c r="L9" s="73" t="str">
        <x:f>IF(OR(J9="",K9=""),"",K9-J9)</x:f>
      </x:c>
      <x:c r="M9" s="74" t="str">
        <x:f>IFERROR(L9/K9,"")</x:f>
      </x:c>
      <x:c r="N9" s="80" t="str">
        <x:f>IF(AND(J9&lt;&gt;"",K9&lt;&gt;""),"已完整",IF(AND(J9="",K9=""),"待补价","价格不完整"))</x:f>
        <x:v>待补价</x:v>
      </x:c>
      <x:c r="O9" s="73"/>
      <x:c r="P9" s="73"/>
      <x:c r="Q9" s="73"/>
      <x:c r="R9" s="73" t="str">
        <x:f>IF(OR(O9="",P9=""),"",P9-O9-IF(Q9="",0,Q9))</x:f>
      </x:c>
      <x:c r="S9" s="80" t="str">
        <x:v>启用</x:v>
      </x:c>
      <x:c r="T9" s="80" t="str">
        <x:v>启用</x:v>
      </x:c>
      <x:c r="U9" s="62" t="str"/>
      <x:c r="V9" s="62" t="str">
        <x:v>2026-08-17 10:10:24+08:00</x:v>
      </x:c>
    </x:row>
    <x:row r="10">
      <x:c r="A10" s="62" t="str">
        <x:v>PROD-JD-EMG4419026250992</x:v>
      </x:c>
      <x:c r="B10" s="83" t="str">
        <x:v>200眼肉牛排</x:v>
      </x:c>
      <x:c r="C10" s="62" t="str">
        <x:v>牛肉</x:v>
      </x:c>
      <x:c r="D10" s="62" t="str">
        <x:v>SKU-JD-000055</x:v>
      </x:c>
      <x:c r="E10" s="62" t="str">
        <x:v>待维护</x:v>
      </x:c>
      <x:c r="F10" s="62" t="str">
        <x:v>件</x:v>
      </x:c>
      <x:c r="G10" s="62" t="str">
        <x:v>京东云仓</x:v>
      </x:c>
      <x:c r="H10" s="62" t="str">
        <x:v>JD_WAREHOUSE</x:v>
      </x:c>
      <x:c r="I10" s="62" t="str">
        <x:v>EMG4419026250992</x:v>
      </x:c>
      <x:c r="J10" s="73"/>
      <x:c r="K10" s="73"/>
      <x:c r="L10" s="73" t="str">
        <x:f>IF(OR(J10="",K10=""),"",K10-J10)</x:f>
      </x:c>
      <x:c r="M10" s="74" t="str">
        <x:f>IFERROR(L10/K10,"")</x:f>
      </x:c>
      <x:c r="N10" s="80" t="str">
        <x:f>IF(AND(J10&lt;&gt;"",K10&lt;&gt;""),"已完整",IF(AND(J10="",K10=""),"待补价","价格不完整"))</x:f>
        <x:v>待补价</x:v>
      </x:c>
      <x:c r="O10" s="73"/>
      <x:c r="P10" s="73"/>
      <x:c r="Q10" s="73"/>
      <x:c r="R10" s="73" t="str">
        <x:f>IF(OR(O10="",P10=""),"",P10-O10-IF(Q10="",0,Q10))</x:f>
      </x:c>
      <x:c r="S10" s="80" t="str">
        <x:v>启用</x:v>
      </x:c>
      <x:c r="T10" s="80" t="str">
        <x:v>启用</x:v>
      </x:c>
      <x:c r="U10" s="62" t="str"/>
      <x:c r="V10" s="62" t="str">
        <x:v>2026-08-17 10:10:24+08:00</x:v>
      </x:c>
    </x:row>
    <x:row r="11">
      <x:c r="A11" s="62" t="str">
        <x:v>PROD-JD-EMG4418946764789</x:v>
      </x:c>
      <x:c r="B11" s="83" t="str">
        <x:v>200西冷</x:v>
      </x:c>
      <x:c r="C11" s="62" t="str">
        <x:v>牛肉</x:v>
      </x:c>
      <x:c r="D11" s="62" t="str">
        <x:v>SKU-JD-000056</x:v>
      </x:c>
      <x:c r="E11" s="62" t="str">
        <x:v>待维护</x:v>
      </x:c>
      <x:c r="F11" s="62" t="str">
        <x:v>件</x:v>
      </x:c>
      <x:c r="G11" s="62" t="str">
        <x:v>京东云仓</x:v>
      </x:c>
      <x:c r="H11" s="62" t="str">
        <x:v>JD_WAREHOUSE</x:v>
      </x:c>
      <x:c r="I11" s="62" t="str">
        <x:v>EMG4418946764789</x:v>
      </x:c>
      <x:c r="J11" s="73"/>
      <x:c r="K11" s="73"/>
      <x:c r="L11" s="73" t="str">
        <x:f>IF(OR(J11="",K11=""),"",K11-J11)</x:f>
      </x:c>
      <x:c r="M11" s="74" t="str">
        <x:f>IFERROR(L11/K11,"")</x:f>
      </x:c>
      <x:c r="N11" s="80" t="str">
        <x:f>IF(AND(J11&lt;&gt;"",K11&lt;&gt;""),"已完整",IF(AND(J11="",K11=""),"待补价","价格不完整"))</x:f>
        <x:v>待补价</x:v>
      </x:c>
      <x:c r="O11" s="73"/>
      <x:c r="P11" s="73"/>
      <x:c r="Q11" s="73"/>
      <x:c r="R11" s="73" t="str">
        <x:f>IF(OR(O11="",P11=""),"",P11-O11-IF(Q11="",0,Q11))</x:f>
      </x:c>
      <x:c r="S11" s="80" t="str">
        <x:v>启用</x:v>
      </x:c>
      <x:c r="T11" s="80" t="str">
        <x:v>启用</x:v>
      </x:c>
      <x:c r="U11" s="62" t="str"/>
      <x:c r="V11" s="62" t="str">
        <x:v>2026-08-17 10:10:24+08:00</x:v>
      </x:c>
    </x:row>
    <x:row r="12">
      <x:c r="A12" s="62" t="str">
        <x:v>PROD-JD-EMG4419026221532</x:v>
      </x:c>
      <x:c r="B12" s="83" t="str">
        <x:v>A5</x:v>
      </x:c>
      <x:c r="C12" s="62" t="str">
        <x:v>牛肉</x:v>
      </x:c>
      <x:c r="D12" s="62" t="str">
        <x:v>SKU-JD-000054</x:v>
      </x:c>
      <x:c r="E12" s="62" t="str">
        <x:v>待维护</x:v>
      </x:c>
      <x:c r="F12" s="62" t="str">
        <x:v>件</x:v>
      </x:c>
      <x:c r="G12" s="62" t="str">
        <x:v>京东云仓</x:v>
      </x:c>
      <x:c r="H12" s="62" t="str">
        <x:v>JD_WAREHOUSE</x:v>
      </x:c>
      <x:c r="I12" s="62" t="str">
        <x:v>EMG4419026221532</x:v>
      </x:c>
      <x:c r="J12" s="73"/>
      <x:c r="K12" s="73"/>
      <x:c r="L12" s="73" t="str">
        <x:f>IF(OR(J12="",K12=""),"",K12-J12)</x:f>
      </x:c>
      <x:c r="M12" s="74" t="str">
        <x:f>IFERROR(L12/K12,"")</x:f>
      </x:c>
      <x:c r="N12" s="80" t="str">
        <x:f>IF(AND(J12&lt;&gt;"",K12&lt;&gt;""),"已完整",IF(AND(J12="",K12=""),"待补价","价格不完整"))</x:f>
        <x:v>待补价</x:v>
      </x:c>
      <x:c r="O12" s="73"/>
      <x:c r="P12" s="73"/>
      <x:c r="Q12" s="73"/>
      <x:c r="R12" s="73" t="str">
        <x:f>IF(OR(O12="",P12=""),"",P12-O12-IF(Q12="",0,Q12))</x:f>
      </x:c>
      <x:c r="S12" s="80" t="str">
        <x:v>启用</x:v>
      </x:c>
      <x:c r="T12" s="80" t="str">
        <x:v>启用</x:v>
      </x:c>
      <x:c r="U12" s="62" t="str"/>
      <x:c r="V12" s="62" t="str">
        <x:v>2026-08-17 10:10:24+08:00</x:v>
      </x:c>
    </x:row>
    <x:row r="13">
      <x:c r="A13" s="62" t="str">
        <x:v>PROD-JD-EMG4418918549603</x:v>
      </x:c>
      <x:c r="B13" s="83" t="str">
        <x:v>M5霜降肥牛卷</x:v>
      </x:c>
      <x:c r="C13" s="62" t="str">
        <x:v>牛肉</x:v>
      </x:c>
      <x:c r="D13" s="62" t="str">
        <x:v>SKU-JD-000048</x:v>
      </x:c>
      <x:c r="E13" s="62" t="str">
        <x:v>待维护</x:v>
      </x:c>
      <x:c r="F13" s="62" t="str">
        <x:v>件</x:v>
      </x:c>
      <x:c r="G13" s="62" t="str">
        <x:v>京东云仓</x:v>
      </x:c>
      <x:c r="H13" s="62" t="str">
        <x:v>JD_WAREHOUSE</x:v>
      </x:c>
      <x:c r="I13" s="62" t="str">
        <x:v>EMG4418918549603</x:v>
      </x:c>
      <x:c r="J13" s="73"/>
      <x:c r="K13" s="73"/>
      <x:c r="L13" s="73" t="str">
        <x:f>IF(OR(J13="",K13=""),"",K13-J13)</x:f>
      </x:c>
      <x:c r="M13" s="74" t="str">
        <x:f>IFERROR(L13/K13,"")</x:f>
      </x:c>
      <x:c r="N13" s="80" t="str">
        <x:f>IF(AND(J13&lt;&gt;"",K13&lt;&gt;""),"已完整",IF(AND(J13="",K13=""),"待补价","价格不完整"))</x:f>
        <x:v>待补价</x:v>
      </x:c>
      <x:c r="O13" s="73"/>
      <x:c r="P13" s="73"/>
      <x:c r="Q13" s="73"/>
      <x:c r="R13" s="73" t="str">
        <x:f>IF(OR(O13="",P13=""),"",P13-O13-IF(Q13="",0,Q13))</x:f>
      </x:c>
      <x:c r="S13" s="80" t="str">
        <x:v>启用</x:v>
      </x:c>
      <x:c r="T13" s="80" t="str">
        <x:v>启用</x:v>
      </x:c>
      <x:c r="U13" s="62" t="str"/>
      <x:c r="V13" s="62" t="str">
        <x:v>2026-08-17 10:10:24+08:00</x:v>
      </x:c>
    </x:row>
    <x:row r="14">
      <x:c r="A14" s="62" t="str">
        <x:v>PROD-JD-EMG4418691853286</x:v>
      </x:c>
      <x:c r="B14" s="83" t="str">
        <x:v>M6-7三拼和牛</x:v>
      </x:c>
      <x:c r="C14" s="62" t="str">
        <x:v>牛肉</x:v>
      </x:c>
      <x:c r="D14" s="62" t="str">
        <x:v>SKU-JD-000047</x:v>
      </x:c>
      <x:c r="E14" s="62" t="str">
        <x:v>待维护</x:v>
      </x:c>
      <x:c r="F14" s="62" t="str">
        <x:v>件</x:v>
      </x:c>
      <x:c r="G14" s="62" t="str">
        <x:v>京东云仓</x:v>
      </x:c>
      <x:c r="H14" s="62" t="str">
        <x:v>JD_WAREHOUSE</x:v>
      </x:c>
      <x:c r="I14" s="62" t="str">
        <x:v>EMG4418691853286</x:v>
      </x:c>
      <x:c r="J14" s="73"/>
      <x:c r="K14" s="73"/>
      <x:c r="L14" s="73" t="str">
        <x:f>IF(OR(J14="",K14=""),"",K14-J14)</x:f>
      </x:c>
      <x:c r="M14" s="74" t="str">
        <x:f>IFERROR(L14/K14,"")</x:f>
      </x:c>
      <x:c r="N14" s="80" t="str">
        <x:f>IF(AND(J14&lt;&gt;"",K14&lt;&gt;""),"已完整",IF(AND(J14="",K14=""),"待补价","价格不完整"))</x:f>
        <x:v>待补价</x:v>
      </x:c>
      <x:c r="O14" s="73"/>
      <x:c r="P14" s="73"/>
      <x:c r="Q14" s="73"/>
      <x:c r="R14" s="73" t="str">
        <x:f>IF(OR(O14="",P14=""),"",P14-O14-IF(Q14="",0,Q14))</x:f>
      </x:c>
      <x:c r="S14" s="80" t="str">
        <x:v>启用</x:v>
      </x:c>
      <x:c r="T14" s="80" t="str">
        <x:v>启用</x:v>
      </x:c>
      <x:c r="U14" s="62" t="str"/>
      <x:c r="V14" s="62" t="str">
        <x:v>2026-08-17 10:10:24+08:00</x:v>
      </x:c>
    </x:row>
    <x:row r="15">
      <x:c r="A15" s="62" t="str">
        <x:v>PROD-JD-EMG4418691862714</x:v>
      </x:c>
      <x:c r="B15" s="83" t="str">
        <x:v>M8-9和牛上脑片</x:v>
      </x:c>
      <x:c r="C15" s="62" t="str">
        <x:v>牛肉</x:v>
      </x:c>
      <x:c r="D15" s="62" t="str">
        <x:v>SKU-JD-000034</x:v>
      </x:c>
      <x:c r="E15" s="62" t="str">
        <x:v>150g</x:v>
      </x:c>
      <x:c r="F15" s="62" t="str">
        <x:v>件</x:v>
      </x:c>
      <x:c r="G15" s="62" t="str">
        <x:v>京东云仓</x:v>
      </x:c>
      <x:c r="H15" s="62" t="str">
        <x:v>JD_WAREHOUSE</x:v>
      </x:c>
      <x:c r="I15" s="62" t="str">
        <x:v>EMG4418691862714</x:v>
      </x:c>
      <x:c r="J15" s="73" t="n">
        <x:v>96</x:v>
      </x:c>
      <x:c r="K15" s="73" t="n">
        <x:v>138</x:v>
      </x:c>
      <x:c r="L15" s="73" t="n">
        <x:f>IF(OR(J15="",K15=""),"",K15-J15)</x:f>
        <x:v>42</x:v>
      </x:c>
      <x:c r="M15" s="74" t="n">
        <x:f>IFERROR(L15/K15,"")</x:f>
        <x:v>0.30434782608695654</x:v>
      </x:c>
      <x:c r="N15" s="80" t="str">
        <x:f>IF(AND(J15&lt;&gt;"",K15&lt;&gt;""),"已完整",IF(AND(J15="",K15=""),"待补价","价格不完整"))</x:f>
        <x:v>已完整</x:v>
      </x:c>
      <x:c r="O15" s="73"/>
      <x:c r="P15" s="73"/>
      <x:c r="Q15" s="73"/>
      <x:c r="R15" s="73" t="str">
        <x:f>IF(OR(O15="",P15=""),"",P15-O15-IF(Q15="",0,Q15))</x:f>
      </x:c>
      <x:c r="S15" s="80" t="str">
        <x:v>启用</x:v>
      </x:c>
      <x:c r="T15" s="80" t="str">
        <x:v>启用</x:v>
      </x:c>
      <x:c r="U15" s="62" t="str"/>
      <x:c r="V15" s="62" t="str">
        <x:v>2026-08-17 10:10:24+08:00</x:v>
      </x:c>
    </x:row>
    <x:row r="16">
      <x:c r="A16" s="62" t="str">
        <x:v>PROD-JD-EMG4419194710122</x:v>
      </x:c>
      <x:c r="B16" s="83" t="str">
        <x:v>M8-9日式和牛厚切烧肉</x:v>
      </x:c>
      <x:c r="C16" s="62" t="str">
        <x:v>牛肉</x:v>
      </x:c>
      <x:c r="D16" s="62" t="str">
        <x:v>SKU-JD-000058</x:v>
      </x:c>
      <x:c r="E16" s="62" t="str">
        <x:v>待维护</x:v>
      </x:c>
      <x:c r="F16" s="62" t="str">
        <x:v>件</x:v>
      </x:c>
      <x:c r="G16" s="62" t="str">
        <x:v>京东云仓</x:v>
      </x:c>
      <x:c r="H16" s="62" t="str">
        <x:v>JD_WAREHOUSE</x:v>
      </x:c>
      <x:c r="I16" s="62" t="str">
        <x:v>EMG4419194710122</x:v>
      </x:c>
      <x:c r="J16" s="73"/>
      <x:c r="K16" s="73"/>
      <x:c r="L16" s="73" t="str">
        <x:f>IF(OR(J16="",K16=""),"",K16-J16)</x:f>
      </x:c>
      <x:c r="M16" s="74" t="str">
        <x:f>IFERROR(L16/K16,"")</x:f>
      </x:c>
      <x:c r="N16" s="80" t="str">
        <x:f>IF(AND(J16&lt;&gt;"",K16&lt;&gt;""),"已完整",IF(AND(J16="",K16=""),"待补价","价格不完整"))</x:f>
        <x:v>待补价</x:v>
      </x:c>
      <x:c r="O16" s="73"/>
      <x:c r="P16" s="73"/>
      <x:c r="Q16" s="73"/>
      <x:c r="R16" s="73" t="str">
        <x:f>IF(OR(O16="",P16=""),"",P16-O16-IF(Q16="",0,Q16))</x:f>
      </x:c>
      <x:c r="S16" s="80" t="str">
        <x:v>启用</x:v>
      </x:c>
      <x:c r="T16" s="80" t="str">
        <x:v>启用</x:v>
      </x:c>
      <x:c r="U16" s="62" t="str"/>
      <x:c r="V16" s="62" t="str">
        <x:v>2026-08-17 10:10:24+08:00</x:v>
      </x:c>
    </x:row>
    <x:row r="17">
      <x:c r="A17" s="62" t="str">
        <x:v>PROD-JD-EMG4418824973489</x:v>
      </x:c>
      <x:c r="B17" s="83" t="str">
        <x:v>上脑牛排</x:v>
      </x:c>
      <x:c r="C17" s="62" t="str">
        <x:v>牛肉</x:v>
      </x:c>
      <x:c r="D17" s="62" t="str">
        <x:v>SKU-JD-000020</x:v>
      </x:c>
      <x:c r="E17" s="62" t="str">
        <x:v>150g</x:v>
      </x:c>
      <x:c r="F17" s="62" t="str">
        <x:v>件</x:v>
      </x:c>
      <x:c r="G17" s="62" t="str">
        <x:v>京东云仓</x:v>
      </x:c>
      <x:c r="H17" s="62" t="str">
        <x:v>JD_WAREHOUSE</x:v>
      </x:c>
      <x:c r="I17" s="62" t="str">
        <x:v>EMG4418824973489</x:v>
      </x:c>
      <x:c r="J17" s="73" t="n">
        <x:v>84</x:v>
      </x:c>
      <x:c r="K17" s="73" t="n">
        <x:v>128</x:v>
      </x:c>
      <x:c r="L17" s="73" t="n">
        <x:f>IF(OR(J17="",K17=""),"",K17-J17)</x:f>
        <x:v>44</x:v>
      </x:c>
      <x:c r="M17" s="74" t="n">
        <x:f>IFERROR(L17/K17,"")</x:f>
        <x:v>0.34375</x:v>
      </x:c>
      <x:c r="N17" s="80" t="str">
        <x:f>IF(AND(J17&lt;&gt;"",K17&lt;&gt;""),"已完整",IF(AND(J17="",K17=""),"待补价","价格不完整"))</x:f>
        <x:v>已完整</x:v>
      </x:c>
      <x:c r="O17" s="73"/>
      <x:c r="P17" s="73"/>
      <x:c r="Q17" s="73"/>
      <x:c r="R17" s="73" t="str">
        <x:f>IF(OR(O17="",P17=""),"",P17-O17-IF(Q17="",0,Q17))</x:f>
      </x:c>
      <x:c r="S17" s="80" t="str">
        <x:v>启用</x:v>
      </x:c>
      <x:c r="T17" s="80" t="str">
        <x:v>启用</x:v>
      </x:c>
      <x:c r="U17" s="62" t="str"/>
      <x:c r="V17" s="62" t="str">
        <x:v>2026-08-17 10:10:24+08:00</x:v>
      </x:c>
    </x:row>
    <x:row r="18">
      <x:c r="A18" s="62" t="str">
        <x:v>PROD-JD-EMG4418727174451</x:v>
      </x:c>
      <x:c r="B18" s="83" t="str">
        <x:v>上脑肉片</x:v>
      </x:c>
      <x:c r="C18" s="62" t="str">
        <x:v>牛肉</x:v>
      </x:c>
      <x:c r="D18" s="62" t="str">
        <x:v>SKU-JD-000001</x:v>
      </x:c>
      <x:c r="E18" s="62" t="str">
        <x:v>1kg</x:v>
      </x:c>
      <x:c r="F18" s="62" t="str">
        <x:v>件</x:v>
      </x:c>
      <x:c r="G18" s="62" t="str">
        <x:v>京东云仓</x:v>
      </x:c>
      <x:c r="H18" s="62" t="str">
        <x:v>JD_WAREHOUSE</x:v>
      </x:c>
      <x:c r="I18" s="62" t="str">
        <x:v>EMG4418727174451</x:v>
      </x:c>
      <x:c r="J18" s="73" t="n">
        <x:v>106.5</x:v>
      </x:c>
      <x:c r="K18" s="73" t="n">
        <x:v>158</x:v>
      </x:c>
      <x:c r="L18" s="73" t="n">
        <x:f>IF(OR(J18="",K18=""),"",K18-J18)</x:f>
        <x:v>51.5</x:v>
      </x:c>
      <x:c r="M18" s="74" t="n">
        <x:f>IFERROR(L18/K18,"")</x:f>
        <x:v>0.3259493670886076</x:v>
      </x:c>
      <x:c r="N18" s="80" t="str">
        <x:f>IF(AND(J18&lt;&gt;"",K18&lt;&gt;""),"已完整",IF(AND(J18="",K18=""),"待补价","价格不完整"))</x:f>
        <x:v>已完整</x:v>
      </x:c>
      <x:c r="O18" s="73"/>
      <x:c r="P18" s="73"/>
      <x:c r="Q18" s="73"/>
      <x:c r="R18" s="73" t="str">
        <x:f>IF(OR(O18="",P18=""),"",P18-O18-IF(Q18="",0,Q18))</x:f>
      </x:c>
      <x:c r="S18" s="80" t="str">
        <x:v>启用</x:v>
      </x:c>
      <x:c r="T18" s="80" t="str">
        <x:v>启用</x:v>
      </x:c>
      <x:c r="U18" s="62" t="str"/>
      <x:c r="V18" s="62" t="str">
        <x:v>2026-08-17 10:10:23+08:00</x:v>
      </x:c>
    </x:row>
    <x:row r="19">
      <x:c r="A19" s="62" t="str">
        <x:v>PROD-JD-EMG4418691848770</x:v>
      </x:c>
      <x:c r="B19" s="83" t="str">
        <x:v>卓宸澳洲谷饲牛蝎子</x:v>
      </x:c>
      <x:c r="C19" s="62" t="str">
        <x:v>牛肉</x:v>
      </x:c>
      <x:c r="D19" s="62" t="str">
        <x:v>SKU-JD-000028</x:v>
      </x:c>
      <x:c r="E19" s="62" t="str">
        <x:v>400g</x:v>
      </x:c>
      <x:c r="F19" s="62" t="str">
        <x:v>件</x:v>
      </x:c>
      <x:c r="G19" s="62" t="str">
        <x:v>京东云仓</x:v>
      </x:c>
      <x:c r="H19" s="62" t="str">
        <x:v>JD_WAREHOUSE</x:v>
      </x:c>
      <x:c r="I19" s="62" t="str">
        <x:v>EMG4418691848770</x:v>
      </x:c>
      <x:c r="J19" s="73"/>
      <x:c r="K19" s="73"/>
      <x:c r="L19" s="73" t="str">
        <x:f>IF(OR(J19="",K19=""),"",K19-J19)</x:f>
      </x:c>
      <x:c r="M19" s="74" t="str">
        <x:f>IFERROR(L19/K19,"")</x:f>
      </x:c>
      <x:c r="N19" s="80" t="str">
        <x:f>IF(AND(J19&lt;&gt;"",K19&lt;&gt;""),"已完整",IF(AND(J19="",K19=""),"待补价","价格不完整"))</x:f>
        <x:v>待补价</x:v>
      </x:c>
      <x:c r="O19" s="73"/>
      <x:c r="P19" s="73"/>
      <x:c r="Q19" s="73"/>
      <x:c r="R19" s="73" t="str">
        <x:f>IF(OR(O19="",P19=""),"",P19-O19-IF(Q19="",0,Q19))</x:f>
      </x:c>
      <x:c r="S19" s="80" t="str">
        <x:v>启用</x:v>
      </x:c>
      <x:c r="T19" s="80" t="str">
        <x:v>启用</x:v>
      </x:c>
      <x:c r="U19" s="62" t="str"/>
      <x:c r="V19" s="62" t="str">
        <x:v>2026-08-17 10:10:24+08:00</x:v>
      </x:c>
    </x:row>
    <x:row r="20">
      <x:c r="A20" s="62" t="str">
        <x:v>PROD-JD-EMG4418904462756</x:v>
      </x:c>
      <x:c r="B20" s="83" t="str">
        <x:v>原切眼肉牛排</x:v>
      </x:c>
      <x:c r="C20" s="62" t="str">
        <x:v>牛肉</x:v>
      </x:c>
      <x:c r="D20" s="62" t="str">
        <x:v>SKU-JD-000032</x:v>
      </x:c>
      <x:c r="E20" s="62" t="str">
        <x:v>150g</x:v>
      </x:c>
      <x:c r="F20" s="62" t="str">
        <x:v>件</x:v>
      </x:c>
      <x:c r="G20" s="62" t="str">
        <x:v>京东云仓</x:v>
      </x:c>
      <x:c r="H20" s="62" t="str">
        <x:v>JD_WAREHOUSE</x:v>
      </x:c>
      <x:c r="I20" s="62" t="str">
        <x:v>EMG4418904462756</x:v>
      </x:c>
      <x:c r="J20" s="73" t="n">
        <x:v>92</x:v>
      </x:c>
      <x:c r="K20" s="73" t="n">
        <x:v>118</x:v>
      </x:c>
      <x:c r="L20" s="73" t="n">
        <x:f>IF(OR(J20="",K20=""),"",K20-J20)</x:f>
        <x:v>26</x:v>
      </x:c>
      <x:c r="M20" s="74" t="n">
        <x:f>IFERROR(L20/K20,"")</x:f>
        <x:v>0.22033898305084745</x:v>
      </x:c>
      <x:c r="N20" s="80" t="str">
        <x:f>IF(AND(J20&lt;&gt;"",K20&lt;&gt;""),"已完整",IF(AND(J20="",K20=""),"待补价","价格不完整"))</x:f>
        <x:v>已完整</x:v>
      </x:c>
      <x:c r="O20" s="73"/>
      <x:c r="P20" s="73"/>
      <x:c r="Q20" s="73"/>
      <x:c r="R20" s="73" t="str">
        <x:f>IF(OR(O20="",P20=""),"",P20-O20-IF(Q20="",0,Q20))</x:f>
      </x:c>
      <x:c r="S20" s="80" t="str">
        <x:v>启用</x:v>
      </x:c>
      <x:c r="T20" s="80" t="str">
        <x:v>启用</x:v>
      </x:c>
      <x:c r="U20" s="62" t="str"/>
      <x:c r="V20" s="62" t="str">
        <x:v>2026-08-17 10:10:24+08:00</x:v>
      </x:c>
    </x:row>
    <x:row r="21">
      <x:c r="A21" s="62" t="str">
        <x:v>PROD-JD-EMG4418861059959</x:v>
      </x:c>
      <x:c r="B21" s="83" t="str">
        <x:v>原切西冷牛排</x:v>
      </x:c>
      <x:c r="C21" s="62" t="str">
        <x:v>牛肉</x:v>
      </x:c>
      <x:c r="D21" s="62" t="str">
        <x:v>SKU-JD-000031</x:v>
      </x:c>
      <x:c r="E21" s="62" t="str">
        <x:v>150g</x:v>
      </x:c>
      <x:c r="F21" s="62" t="str">
        <x:v>件</x:v>
      </x:c>
      <x:c r="G21" s="62" t="str">
        <x:v>京东云仓</x:v>
      </x:c>
      <x:c r="H21" s="62" t="str">
        <x:v>JD_WAREHOUSE</x:v>
      </x:c>
      <x:c r="I21" s="62" t="str">
        <x:v>EMG4418861059959</x:v>
      </x:c>
      <x:c r="J21" s="73" t="n">
        <x:v>88</x:v>
      </x:c>
      <x:c r="K21" s="73" t="n">
        <x:v>118</x:v>
      </x:c>
      <x:c r="L21" s="73" t="n">
        <x:f>IF(OR(J21="",K21=""),"",K21-J21)</x:f>
        <x:v>30</x:v>
      </x:c>
      <x:c r="M21" s="74" t="n">
        <x:f>IFERROR(L21/K21,"")</x:f>
        <x:v>0.2542372881355932</x:v>
      </x:c>
      <x:c r="N21" s="80" t="str">
        <x:f>IF(AND(J21&lt;&gt;"",K21&lt;&gt;""),"已完整",IF(AND(J21="",K21=""),"待补价","价格不完整"))</x:f>
        <x:v>已完整</x:v>
      </x:c>
      <x:c r="O21" s="73"/>
      <x:c r="P21" s="73"/>
      <x:c r="Q21" s="73"/>
      <x:c r="R21" s="73" t="str">
        <x:f>IF(OR(O21="",P21=""),"",P21-O21-IF(Q21="",0,Q21))</x:f>
      </x:c>
      <x:c r="S21" s="80" t="str">
        <x:v>启用</x:v>
      </x:c>
      <x:c r="T21" s="80" t="str">
        <x:v>启用</x:v>
      </x:c>
      <x:c r="U21" s="62" t="str"/>
      <x:c r="V21" s="62" t="str">
        <x:v>2026-08-17 10:10:24+08:00</x:v>
      </x:c>
    </x:row>
    <x:row r="22">
      <x:c r="A22" s="62" t="str">
        <x:v>PROD-JD-EMG4418697322825</x:v>
      </x:c>
      <x:c r="B22" s="83" t="str">
        <x:v>和牛肉饼100g</x:v>
      </x:c>
      <x:c r="C22" s="62" t="str">
        <x:v>牛肉</x:v>
      </x:c>
      <x:c r="D22" s="62" t="str">
        <x:v>SKU-JD-000046</x:v>
      </x:c>
      <x:c r="E22" s="62" t="str">
        <x:v>100g</x:v>
      </x:c>
      <x:c r="F22" s="62" t="str">
        <x:v>件</x:v>
      </x:c>
      <x:c r="G22" s="62" t="str">
        <x:v>京东云仓</x:v>
      </x:c>
      <x:c r="H22" s="62" t="str">
        <x:v>JD_WAREHOUSE</x:v>
      </x:c>
      <x:c r="I22" s="62" t="str">
        <x:v>EMG4418697322825</x:v>
      </x:c>
      <x:c r="J22" s="73"/>
      <x:c r="K22" s="73"/>
      <x:c r="L22" s="73" t="str">
        <x:f>IF(OR(J22="",K22=""),"",K22-J22)</x:f>
      </x:c>
      <x:c r="M22" s="74" t="str">
        <x:f>IFERROR(L22/K22,"")</x:f>
      </x:c>
      <x:c r="N22" s="80" t="str">
        <x:f>IF(AND(J22&lt;&gt;"",K22&lt;&gt;""),"已完整",IF(AND(J22="",K22=""),"待补价","价格不完整"))</x:f>
        <x:v>待补价</x:v>
      </x:c>
      <x:c r="O22" s="73"/>
      <x:c r="P22" s="73"/>
      <x:c r="Q22" s="73"/>
      <x:c r="R22" s="73" t="str">
        <x:f>IF(OR(O22="",P22=""),"",P22-O22-IF(Q22="",0,Q22))</x:f>
      </x:c>
      <x:c r="S22" s="80" t="str">
        <x:v>启用</x:v>
      </x:c>
      <x:c r="T22" s="80" t="str">
        <x:v>启用</x:v>
      </x:c>
      <x:c r="U22" s="62" t="str"/>
      <x:c r="V22" s="62" t="str">
        <x:v>2026-08-17 10:10:24+08:00</x:v>
      </x:c>
    </x:row>
    <x:row r="23">
      <x:c r="A23" s="62" t="str">
        <x:v>PROD-JD-EMG4418966785087</x:v>
      </x:c>
      <x:c r="B23" s="83" t="str">
        <x:v>子牧黄油牛小排400g</x:v>
      </x:c>
      <x:c r="C23" s="62" t="str">
        <x:v>牛肉</x:v>
      </x:c>
      <x:c r="D23" s="62" t="str">
        <x:v>SKU-JD-000051</x:v>
      </x:c>
      <x:c r="E23" s="62" t="str">
        <x:v>400g</x:v>
      </x:c>
      <x:c r="F23" s="62" t="str">
        <x:v>件</x:v>
      </x:c>
      <x:c r="G23" s="62" t="str">
        <x:v>京东云仓</x:v>
      </x:c>
      <x:c r="H23" s="62" t="str">
        <x:v>JD_WAREHOUSE</x:v>
      </x:c>
      <x:c r="I23" s="62" t="str">
        <x:v>EMG4418966785087</x:v>
      </x:c>
      <x:c r="J23" s="73"/>
      <x:c r="K23" s="73"/>
      <x:c r="L23" s="73" t="str">
        <x:f>IF(OR(J23="",K23=""),"",K23-J23)</x:f>
      </x:c>
      <x:c r="M23" s="74" t="str">
        <x:f>IFERROR(L23/K23,"")</x:f>
      </x:c>
      <x:c r="N23" s="80" t="str">
        <x:f>IF(AND(J23&lt;&gt;"",K23&lt;&gt;""),"已完整",IF(AND(J23="",K23=""),"待补价","价格不完整"))</x:f>
        <x:v>待补价</x:v>
      </x:c>
      <x:c r="O23" s="73"/>
      <x:c r="P23" s="73"/>
      <x:c r="Q23" s="73"/>
      <x:c r="R23" s="73" t="str">
        <x:f>IF(OR(O23="",P23=""),"",P23-O23-IF(Q23="",0,Q23))</x:f>
      </x:c>
      <x:c r="S23" s="80" t="str">
        <x:v>启用</x:v>
      </x:c>
      <x:c r="T23" s="80" t="str">
        <x:v>启用</x:v>
      </x:c>
      <x:c r="U23" s="62" t="str"/>
      <x:c r="V23" s="62" t="str">
        <x:v>2026-08-17 10:10:24+08:00</x:v>
      </x:c>
    </x:row>
    <x:row r="24">
      <x:c r="A24" s="62" t="str">
        <x:v>PROD-JD-EMG4418727180447</x:v>
      </x:c>
      <x:c r="B24" s="83" t="str">
        <x:v>安格斯牛舌</x:v>
      </x:c>
      <x:c r="C24" s="62" t="str">
        <x:v>牛肉</x:v>
      </x:c>
      <x:c r="D24" s="62" t="str">
        <x:v>SKU-JD-000049</x:v>
      </x:c>
      <x:c r="E24" s="62" t="str">
        <x:v>待维护</x:v>
      </x:c>
      <x:c r="F24" s="62" t="str">
        <x:v>件</x:v>
      </x:c>
      <x:c r="G24" s="62" t="str">
        <x:v>京东云仓</x:v>
      </x:c>
      <x:c r="H24" s="62" t="str">
        <x:v>JD_WAREHOUSE</x:v>
      </x:c>
      <x:c r="I24" s="62" t="str">
        <x:v>EMG4418727180447</x:v>
      </x:c>
      <x:c r="J24" s="73"/>
      <x:c r="K24" s="73"/>
      <x:c r="L24" s="73" t="str">
        <x:f>IF(OR(J24="",K24=""),"",K24-J24)</x:f>
      </x:c>
      <x:c r="M24" s="74" t="str">
        <x:f>IFERROR(L24/K24,"")</x:f>
      </x:c>
      <x:c r="N24" s="80" t="str">
        <x:f>IF(AND(J24&lt;&gt;"",K24&lt;&gt;""),"已完整",IF(AND(J24="",K24=""),"待补价","价格不完整"))</x:f>
        <x:v>待补价</x:v>
      </x:c>
      <x:c r="O24" s="73"/>
      <x:c r="P24" s="73"/>
      <x:c r="Q24" s="73"/>
      <x:c r="R24" s="73" t="str">
        <x:f>IF(OR(O24="",P24=""),"",P24-O24-IF(Q24="",0,Q24))</x:f>
      </x:c>
      <x:c r="S24" s="80" t="str">
        <x:v>启用</x:v>
      </x:c>
      <x:c r="T24" s="80" t="str">
        <x:v>启用</x:v>
      </x:c>
      <x:c r="U24" s="62" t="str"/>
      <x:c r="V24" s="62" t="str">
        <x:v>2026-08-17 10:10:24+08:00</x:v>
      </x:c>
    </x:row>
    <x:row r="25">
      <x:c r="A25" s="62" t="str">
        <x:v>PROD-JD-EMG4418727169935</x:v>
      </x:c>
      <x:c r="B25" s="83" t="str">
        <x:v>日式谷饲横膈膜150g</x:v>
      </x:c>
      <x:c r="C25" s="62" t="str">
        <x:v>牛肉</x:v>
      </x:c>
      <x:c r="D25" s="62" t="str">
        <x:v>SKU-JD-000044</x:v>
      </x:c>
      <x:c r="E25" s="62" t="str">
        <x:v>150g</x:v>
      </x:c>
      <x:c r="F25" s="62" t="str">
        <x:v>件</x:v>
      </x:c>
      <x:c r="G25" s="62" t="str">
        <x:v>京东云仓</x:v>
      </x:c>
      <x:c r="H25" s="62" t="str">
        <x:v>JD_WAREHOUSE</x:v>
      </x:c>
      <x:c r="I25" s="62" t="str">
        <x:v>EMG4418727169935</x:v>
      </x:c>
      <x:c r="J25" s="73"/>
      <x:c r="K25" s="73"/>
      <x:c r="L25" s="73" t="str">
        <x:f>IF(OR(J25="",K25=""),"",K25-J25)</x:f>
      </x:c>
      <x:c r="M25" s="74" t="str">
        <x:f>IFERROR(L25/K25,"")</x:f>
      </x:c>
      <x:c r="N25" s="80" t="str">
        <x:f>IF(AND(J25&lt;&gt;"",K25&lt;&gt;""),"已完整",IF(AND(J25="",K25=""),"待补价","价格不完整"))</x:f>
        <x:v>待补价</x:v>
      </x:c>
      <x:c r="O25" s="73"/>
      <x:c r="P25" s="73"/>
      <x:c r="Q25" s="73"/>
      <x:c r="R25" s="73" t="str">
        <x:f>IF(OR(O25="",P25=""),"",P25-O25-IF(Q25="",0,Q25))</x:f>
      </x:c>
      <x:c r="S25" s="80" t="str">
        <x:v>启用</x:v>
      </x:c>
      <x:c r="T25" s="80" t="str">
        <x:v>启用</x:v>
      </x:c>
      <x:c r="U25" s="62" t="str"/>
      <x:c r="V25" s="62" t="str">
        <x:v>2026-08-17 10:10:24+08:00</x:v>
      </x:c>
    </x:row>
    <x:row r="26">
      <x:c r="A26" s="62" t="str">
        <x:v>PROD-JD-EMG4418944686675</x:v>
      </x:c>
      <x:c r="B26" s="83" t="str">
        <x:v>板健</x:v>
      </x:c>
      <x:c r="C26" s="62" t="str">
        <x:v>牛肉</x:v>
      </x:c>
      <x:c r="D26" s="62" t="str">
        <x:v>SKU-JD-000052</x:v>
      </x:c>
      <x:c r="E26" s="62" t="str">
        <x:v>待维护</x:v>
      </x:c>
      <x:c r="F26" s="62" t="str">
        <x:v>件</x:v>
      </x:c>
      <x:c r="G26" s="62" t="str">
        <x:v>京东云仓</x:v>
      </x:c>
      <x:c r="H26" s="62" t="str">
        <x:v>JD_WAREHOUSE</x:v>
      </x:c>
      <x:c r="I26" s="62" t="str">
        <x:v>EMG4418944686675</x:v>
      </x:c>
      <x:c r="J26" s="73"/>
      <x:c r="K26" s="73"/>
      <x:c r="L26" s="73" t="str">
        <x:f>IF(OR(J26="",K26=""),"",K26-J26)</x:f>
      </x:c>
      <x:c r="M26" s="74" t="str">
        <x:f>IFERROR(L26/K26,"")</x:f>
      </x:c>
      <x:c r="N26" s="80" t="str">
        <x:f>IF(AND(J26&lt;&gt;"",K26&lt;&gt;""),"已完整",IF(AND(J26="",K26=""),"待补价","价格不完整"))</x:f>
        <x:v>待补价</x:v>
      </x:c>
      <x:c r="O26" s="73"/>
      <x:c r="P26" s="73"/>
      <x:c r="Q26" s="73"/>
      <x:c r="R26" s="73" t="str">
        <x:f>IF(OR(O26="",P26=""),"",P26-O26-IF(Q26="",0,Q26))</x:f>
      </x:c>
      <x:c r="S26" s="80" t="str">
        <x:v>启用</x:v>
      </x:c>
      <x:c r="T26" s="80" t="str">
        <x:v>启用</x:v>
      </x:c>
      <x:c r="U26" s="62" t="str"/>
      <x:c r="V26" s="62" t="str">
        <x:v>2026-08-17 10:10:24+08:00</x:v>
      </x:c>
    </x:row>
    <x:row r="27">
      <x:c r="A27" s="62" t="str">
        <x:v>PROD-JD-EMG4418778272348</x:v>
      </x:c>
      <x:c r="B27" s="83" t="str">
        <x:v>牛后腿肉</x:v>
      </x:c>
      <x:c r="C27" s="62" t="str">
        <x:v>牛肉</x:v>
      </x:c>
      <x:c r="D27" s="62" t="str">
        <x:v>SKU-JD-000035</x:v>
      </x:c>
      <x:c r="E27" s="62" t="str">
        <x:v>500g</x:v>
      </x:c>
      <x:c r="F27" s="62" t="str">
        <x:v>件</x:v>
      </x:c>
      <x:c r="G27" s="62" t="str">
        <x:v>京东云仓</x:v>
      </x:c>
      <x:c r="H27" s="62" t="str">
        <x:v>JD_WAREHOUSE</x:v>
      </x:c>
      <x:c r="I27" s="62" t="str">
        <x:v>EMG4418778272348</x:v>
      </x:c>
      <x:c r="J27" s="73" t="n">
        <x:v>112</x:v>
      </x:c>
      <x:c r="K27" s="73" t="n">
        <x:v>128</x:v>
      </x:c>
      <x:c r="L27" s="73" t="n">
        <x:f>IF(OR(J27="",K27=""),"",K27-J27)</x:f>
        <x:v>16</x:v>
      </x:c>
      <x:c r="M27" s="74" t="n">
        <x:f>IFERROR(L27/K27,"")</x:f>
        <x:v>0.125</x:v>
      </x:c>
      <x:c r="N27" s="80" t="str">
        <x:f>IF(AND(J27&lt;&gt;"",K27&lt;&gt;""),"已完整",IF(AND(J27="",K27=""),"待补价","价格不完整"))</x:f>
        <x:v>已完整</x:v>
      </x:c>
      <x:c r="O27" s="73"/>
      <x:c r="P27" s="73"/>
      <x:c r="Q27" s="73"/>
      <x:c r="R27" s="73" t="str">
        <x:f>IF(OR(O27="",P27=""),"",P27-O27-IF(Q27="",0,Q27))</x:f>
      </x:c>
      <x:c r="S27" s="80" t="str">
        <x:v>启用</x:v>
      </x:c>
      <x:c r="T27" s="80" t="str">
        <x:v>启用</x:v>
      </x:c>
      <x:c r="U27" s="62" t="str"/>
      <x:c r="V27" s="62" t="str">
        <x:v>2026-08-17 10:10:24+08:00</x:v>
      </x:c>
    </x:row>
    <x:row r="28">
      <x:c r="A28" s="62" t="str">
        <x:v>PROD-JD-EMG4418904461896</x:v>
      </x:c>
      <x:c r="B28" s="83" t="str">
        <x:v>牛肉丝</x:v>
      </x:c>
      <x:c r="C28" s="62" t="str">
        <x:v>牛肉</x:v>
      </x:c>
      <x:c r="D28" s="62" t="str">
        <x:v>SKU-JD-000027</x:v>
      </x:c>
      <x:c r="E28" s="62" t="str">
        <x:v>150g</x:v>
      </x:c>
      <x:c r="F28" s="62" t="str">
        <x:v>件</x:v>
      </x:c>
      <x:c r="G28" s="62" t="str">
        <x:v>京东云仓</x:v>
      </x:c>
      <x:c r="H28" s="62" t="str">
        <x:v>JD_WAREHOUSE</x:v>
      </x:c>
      <x:c r="I28" s="62" t="str">
        <x:v>EMG4418904461896</x:v>
      </x:c>
      <x:c r="J28" s="73"/>
      <x:c r="K28" s="73"/>
      <x:c r="L28" s="73" t="str">
        <x:f>IF(OR(J28="",K28=""),"",K28-J28)</x:f>
      </x:c>
      <x:c r="M28" s="74" t="str">
        <x:f>IFERROR(L28/K28,"")</x:f>
      </x:c>
      <x:c r="N28" s="80" t="str">
        <x:f>IF(AND(J28&lt;&gt;"",K28&lt;&gt;""),"已完整",IF(AND(J28="",K28=""),"待补价","价格不完整"))</x:f>
        <x:v>待补价</x:v>
      </x:c>
      <x:c r="O28" s="73"/>
      <x:c r="P28" s="73"/>
      <x:c r="Q28" s="73"/>
      <x:c r="R28" s="73" t="str">
        <x:f>IF(OR(O28="",P28=""),"",P28-O28-IF(Q28="",0,Q28))</x:f>
      </x:c>
      <x:c r="S28" s="80" t="str">
        <x:v>启用</x:v>
      </x:c>
      <x:c r="T28" s="80" t="str">
        <x:v>启用</x:v>
      </x:c>
      <x:c r="U28" s="62" t="str"/>
      <x:c r="V28" s="62" t="str">
        <x:v>2026-08-17 10:10:24+08:00</x:v>
      </x:c>
    </x:row>
    <x:row r="29">
      <x:c r="A29" s="62" t="str">
        <x:v>PROD-JD-EMG4418727169547</x:v>
      </x:c>
      <x:c r="B29" s="83" t="str">
        <x:v>牛肉块</x:v>
      </x:c>
      <x:c r="C29" s="62" t="str">
        <x:v>牛肉</x:v>
      </x:c>
      <x:c r="D29" s="62" t="str">
        <x:v>SKU-JD-000023</x:v>
      </x:c>
      <x:c r="E29" s="62" t="str">
        <x:v>500g</x:v>
      </x:c>
      <x:c r="F29" s="62" t="str">
        <x:v>件</x:v>
      </x:c>
      <x:c r="G29" s="62" t="str">
        <x:v>京东云仓</x:v>
      </x:c>
      <x:c r="H29" s="62" t="str">
        <x:v>JD_WAREHOUSE</x:v>
      </x:c>
      <x:c r="I29" s="62" t="str">
        <x:v>EMG4418727169547</x:v>
      </x:c>
      <x:c r="J29" s="73"/>
      <x:c r="K29" s="73"/>
      <x:c r="L29" s="73" t="str">
        <x:f>IF(OR(J29="",K29=""),"",K29-J29)</x:f>
      </x:c>
      <x:c r="M29" s="74" t="str">
        <x:f>IFERROR(L29/K29,"")</x:f>
      </x:c>
      <x:c r="N29" s="80" t="str">
        <x:f>IF(AND(J29&lt;&gt;"",K29&lt;&gt;""),"已完整",IF(AND(J29="",K29=""),"待补价","价格不完整"))</x:f>
        <x:v>待补价</x:v>
      </x:c>
      <x:c r="O29" s="73"/>
      <x:c r="P29" s="73"/>
      <x:c r="Q29" s="73"/>
      <x:c r="R29" s="73" t="str">
        <x:f>IF(OR(O29="",P29=""),"",P29-O29-IF(Q29="",0,Q29))</x:f>
      </x:c>
      <x:c r="S29" s="80" t="str">
        <x:v>启用</x:v>
      </x:c>
      <x:c r="T29" s="80" t="str">
        <x:v>启用</x:v>
      </x:c>
      <x:c r="U29" s="62" t="str"/>
      <x:c r="V29" s="62" t="str">
        <x:v>2026-08-17 10:10:24+08:00</x:v>
      </x:c>
    </x:row>
    <x:row r="30">
      <x:c r="A30" s="62" t="str">
        <x:v>PROD-JD-EMG4418824974537</x:v>
      </x:c>
      <x:c r="B30" s="83" t="str">
        <x:v>牛肉片</x:v>
      </x:c>
      <x:c r="C30" s="62" t="str">
        <x:v>牛肉</x:v>
      </x:c>
      <x:c r="D30" s="62" t="str">
        <x:v>SKU-JD-000029</x:v>
      </x:c>
      <x:c r="E30" s="62" t="str">
        <x:v>150g</x:v>
      </x:c>
      <x:c r="F30" s="62" t="str">
        <x:v>件</x:v>
      </x:c>
      <x:c r="G30" s="62" t="str">
        <x:v>京东云仓</x:v>
      </x:c>
      <x:c r="H30" s="62" t="str">
        <x:v>JD_WAREHOUSE</x:v>
      </x:c>
      <x:c r="I30" s="62" t="str">
        <x:v>EMG4418824974537</x:v>
      </x:c>
      <x:c r="J30" s="73"/>
      <x:c r="K30" s="73"/>
      <x:c r="L30" s="73" t="str">
        <x:f>IF(OR(J30="",K30=""),"",K30-J30)</x:f>
      </x:c>
      <x:c r="M30" s="74" t="str">
        <x:f>IFERROR(L30/K30,"")</x:f>
      </x:c>
      <x:c r="N30" s="80" t="str">
        <x:f>IF(AND(J30&lt;&gt;"",K30&lt;&gt;""),"已完整",IF(AND(J30="",K30=""),"待补价","价格不完整"))</x:f>
        <x:v>待补价</x:v>
      </x:c>
      <x:c r="O30" s="73"/>
      <x:c r="P30" s="73"/>
      <x:c r="Q30" s="73"/>
      <x:c r="R30" s="73" t="str">
        <x:f>IF(OR(O30="",P30=""),"",P30-O30-IF(Q30="",0,Q30))</x:f>
      </x:c>
      <x:c r="S30" s="80" t="str">
        <x:v>启用</x:v>
      </x:c>
      <x:c r="T30" s="80" t="str">
        <x:v>启用</x:v>
      </x:c>
      <x:c r="U30" s="62" t="str"/>
      <x:c r="V30" s="62" t="str">
        <x:v>2026-08-17 10:10:24+08:00</x:v>
      </x:c>
    </x:row>
    <x:row r="31">
      <x:c r="A31" s="62" t="str">
        <x:v>PROD-JD-EMG4418691858238</x:v>
      </x:c>
      <x:c r="B31" s="83" t="str">
        <x:v>牛肉饼(1.2kg)</x:v>
      </x:c>
      <x:c r="C31" s="62" t="str">
        <x:v>牛肉</x:v>
      </x:c>
      <x:c r="D31" s="62" t="str">
        <x:v>SKU-JD-000024</x:v>
      </x:c>
      <x:c r="E31" s="62" t="str">
        <x:v>1.2kg</x:v>
      </x:c>
      <x:c r="F31" s="62" t="str">
        <x:v>件</x:v>
      </x:c>
      <x:c r="G31" s="62" t="str">
        <x:v>京东云仓</x:v>
      </x:c>
      <x:c r="H31" s="62" t="str">
        <x:v>JD_WAREHOUSE</x:v>
      </x:c>
      <x:c r="I31" s="62" t="str">
        <x:v>EMG4418691858238</x:v>
      </x:c>
      <x:c r="J31" s="73" t="n">
        <x:v>109.5</x:v>
      </x:c>
      <x:c r="K31" s="73" t="n">
        <x:v>158</x:v>
      </x:c>
      <x:c r="L31" s="73" t="n">
        <x:f>IF(OR(J31="",K31=""),"",K31-J31)</x:f>
        <x:v>48.5</x:v>
      </x:c>
      <x:c r="M31" s="74" t="n">
        <x:f>IFERROR(L31/K31,"")</x:f>
        <x:v>0.3069620253164557</x:v>
      </x:c>
      <x:c r="N31" s="80" t="str">
        <x:f>IF(AND(J31&lt;&gt;"",K31&lt;&gt;""),"已完整",IF(AND(J31="",K31=""),"待补价","价格不完整"))</x:f>
        <x:v>已完整</x:v>
      </x:c>
      <x:c r="O31" s="73"/>
      <x:c r="P31" s="73"/>
      <x:c r="Q31" s="73"/>
      <x:c r="R31" s="73" t="str">
        <x:f>IF(OR(O31="",P31=""),"",P31-O31-IF(Q31="",0,Q31))</x:f>
      </x:c>
      <x:c r="S31" s="80" t="str">
        <x:v>启用</x:v>
      </x:c>
      <x:c r="T31" s="80" t="str">
        <x:v>启用</x:v>
      </x:c>
      <x:c r="U31" s="62" t="str"/>
      <x:c r="V31" s="62" t="str">
        <x:v>2026-08-17 10:10:24+08:00</x:v>
      </x:c>
    </x:row>
    <x:row r="32">
      <x:c r="A32" s="62" t="str">
        <x:v>PROD-JD-EMG4418904462240</x:v>
      </x:c>
      <x:c r="B32" s="83" t="str">
        <x:v>牛肉馅</x:v>
      </x:c>
      <x:c r="C32" s="62" t="str">
        <x:v>牛肉</x:v>
      </x:c>
      <x:c r="D32" s="62" t="str">
        <x:v>SKU-JD-000030</x:v>
      </x:c>
      <x:c r="E32" s="62" t="str">
        <x:v>500g</x:v>
      </x:c>
      <x:c r="F32" s="62" t="str">
        <x:v>件</x:v>
      </x:c>
      <x:c r="G32" s="62" t="str">
        <x:v>京东云仓</x:v>
      </x:c>
      <x:c r="H32" s="62" t="str">
        <x:v>JD_WAREHOUSE</x:v>
      </x:c>
      <x:c r="I32" s="62" t="str">
        <x:v>EMG4418904462240</x:v>
      </x:c>
      <x:c r="J32" s="73" t="n">
        <x:v>88</x:v>
      </x:c>
      <x:c r="K32" s="73" t="n">
        <x:v>108</x:v>
      </x:c>
      <x:c r="L32" s="73" t="n">
        <x:f>IF(OR(J32="",K32=""),"",K32-J32)</x:f>
        <x:v>20</x:v>
      </x:c>
      <x:c r="M32" s="74" t="n">
        <x:f>IFERROR(L32/K32,"")</x:f>
        <x:v>0.18518518518518517</x:v>
      </x:c>
      <x:c r="N32" s="80" t="str">
        <x:f>IF(AND(J32&lt;&gt;"",K32&lt;&gt;""),"已完整",IF(AND(J32="",K32=""),"待补价","价格不完整"))</x:f>
        <x:v>已完整</x:v>
      </x:c>
      <x:c r="O32" s="73"/>
      <x:c r="P32" s="73"/>
      <x:c r="Q32" s="73"/>
      <x:c r="R32" s="73" t="str">
        <x:f>IF(OR(O32="",P32=""),"",P32-O32-IF(Q32="",0,Q32))</x:f>
      </x:c>
      <x:c r="S32" s="80" t="str">
        <x:v>启用</x:v>
      </x:c>
      <x:c r="T32" s="80" t="str">
        <x:v>启用</x:v>
      </x:c>
      <x:c r="U32" s="62" t="str"/>
      <x:c r="V32" s="62" t="str">
        <x:v>2026-08-17 10:10:24+08:00</x:v>
      </x:c>
    </x:row>
    <x:row r="33">
      <x:c r="A33" s="62" t="str">
        <x:v>PROD-JD-EMG4418727173759</x:v>
      </x:c>
      <x:c r="B33" s="83" t="str">
        <x:v>牛肋排</x:v>
      </x:c>
      <x:c r="C33" s="62" t="str">
        <x:v>牛肉</x:v>
      </x:c>
      <x:c r="D33" s="62" t="str">
        <x:v>SKU-JD-000025</x:v>
      </x:c>
      <x:c r="E33" s="62" t="str">
        <x:v>400g</x:v>
      </x:c>
      <x:c r="F33" s="62" t="str">
        <x:v>件</x:v>
      </x:c>
      <x:c r="G33" s="62" t="str">
        <x:v>京东云仓</x:v>
      </x:c>
      <x:c r="H33" s="62" t="str">
        <x:v>JD_WAREHOUSE</x:v>
      </x:c>
      <x:c r="I33" s="62" t="str">
        <x:v>EMG4418727173759</x:v>
      </x:c>
      <x:c r="J33" s="73" t="n">
        <x:v>102</x:v>
      </x:c>
      <x:c r="K33" s="73" t="n">
        <x:v>109</x:v>
      </x:c>
      <x:c r="L33" s="73" t="n">
        <x:f>IF(OR(J33="",K33=""),"",K33-J33)</x:f>
        <x:v>7</x:v>
      </x:c>
      <x:c r="M33" s="74" t="n">
        <x:f>IFERROR(L33/K33,"")</x:f>
        <x:v>0.06422018348623854</x:v>
      </x:c>
      <x:c r="N33" s="80" t="str">
        <x:f>IF(AND(J33&lt;&gt;"",K33&lt;&gt;""),"已完整",IF(AND(J33="",K33=""),"待补价","价格不完整"))</x:f>
        <x:v>已完整</x:v>
      </x:c>
      <x:c r="O33" s="73"/>
      <x:c r="P33" s="73"/>
      <x:c r="Q33" s="73"/>
      <x:c r="R33" s="73" t="str">
        <x:f>IF(OR(O33="",P33=""),"",P33-O33-IF(Q33="",0,Q33))</x:f>
      </x:c>
      <x:c r="S33" s="80" t="str">
        <x:v>启用</x:v>
      </x:c>
      <x:c r="T33" s="80" t="str">
        <x:v>启用</x:v>
      </x:c>
      <x:c r="U33" s="62" t="str"/>
      <x:c r="V33" s="62" t="str">
        <x:v>2026-08-17 10:10:24+08:00</x:v>
      </x:c>
    </x:row>
    <x:row r="34">
      <x:c r="A34" s="62" t="str">
        <x:v>PROD-JD-EMG4418861058751</x:v>
      </x:c>
      <x:c r="B34" s="83" t="str">
        <x:v>牛肋条</x:v>
      </x:c>
      <x:c r="C34" s="62" t="str">
        <x:v>牛肉</x:v>
      </x:c>
      <x:c r="D34" s="62" t="str">
        <x:v>SKU-JD-000021</x:v>
      </x:c>
      <x:c r="E34" s="62" t="str">
        <x:v>500g</x:v>
      </x:c>
      <x:c r="F34" s="62" t="str">
        <x:v>件</x:v>
      </x:c>
      <x:c r="G34" s="62" t="str">
        <x:v>京东云仓</x:v>
      </x:c>
      <x:c r="H34" s="62" t="str">
        <x:v>JD_WAREHOUSE</x:v>
      </x:c>
      <x:c r="I34" s="62" t="str">
        <x:v>EMG4418861058751</x:v>
      </x:c>
      <x:c r="J34" s="73" t="n">
        <x:v>126</x:v>
      </x:c>
      <x:c r="K34" s="73" t="n">
        <x:v>128</x:v>
      </x:c>
      <x:c r="L34" s="73" t="n">
        <x:f>IF(OR(J34="",K34=""),"",K34-J34)</x:f>
        <x:v>2</x:v>
      </x:c>
      <x:c r="M34" s="74" t="n">
        <x:f>IFERROR(L34/K34,"")</x:f>
        <x:v>0.015625</x:v>
      </x:c>
      <x:c r="N34" s="80" t="str">
        <x:f>IF(AND(J34&lt;&gt;"",K34&lt;&gt;""),"已完整",IF(AND(J34="",K34=""),"待补价","价格不完整"))</x:f>
        <x:v>已完整</x:v>
      </x:c>
      <x:c r="O34" s="73"/>
      <x:c r="P34" s="73"/>
      <x:c r="Q34" s="73"/>
      <x:c r="R34" s="73" t="str">
        <x:f>IF(OR(O34="",P34=""),"",P34-O34-IF(Q34="",0,Q34))</x:f>
      </x:c>
      <x:c r="S34" s="80" t="str">
        <x:v>启用</x:v>
      </x:c>
      <x:c r="T34" s="80" t="str">
        <x:v>启用</x:v>
      </x:c>
      <x:c r="U34" s="62" t="str"/>
      <x:c r="V34" s="62" t="str">
        <x:v>2026-08-17 10:10:24+08:00</x:v>
      </x:c>
    </x:row>
    <x:row r="35">
      <x:c r="A35" s="62" t="str">
        <x:v>PROD-JD-EMG4418727173231</x:v>
      </x:c>
      <x:c r="B35" s="83" t="str">
        <x:v>牛腩块(500g)</x:v>
      </x:c>
      <x:c r="C35" s="62" t="str">
        <x:v>牛肉</x:v>
      </x:c>
      <x:c r="D35" s="62" t="str">
        <x:v>SKU-JD-000022</x:v>
      </x:c>
      <x:c r="E35" s="62" t="str">
        <x:v>500g</x:v>
      </x:c>
      <x:c r="F35" s="62" t="str">
        <x:v>件</x:v>
      </x:c>
      <x:c r="G35" s="62" t="str">
        <x:v>京东云仓</x:v>
      </x:c>
      <x:c r="H35" s="62" t="str">
        <x:v>JD_WAREHOUSE</x:v>
      </x:c>
      <x:c r="I35" s="62" t="str">
        <x:v>EMG4418727173231</x:v>
      </x:c>
      <x:c r="J35" s="73" t="n">
        <x:v>96</x:v>
      </x:c>
      <x:c r="K35" s="73" t="n">
        <x:v>108</x:v>
      </x:c>
      <x:c r="L35" s="73" t="n">
        <x:f>IF(OR(J35="",K35=""),"",K35-J35)</x:f>
        <x:v>12</x:v>
      </x:c>
      <x:c r="M35" s="74" t="n">
        <x:f>IFERROR(L35/K35,"")</x:f>
        <x:v>0.1111111111111111</x:v>
      </x:c>
      <x:c r="N35" s="80" t="str">
        <x:f>IF(AND(J35&lt;&gt;"",K35&lt;&gt;""),"已完整",IF(AND(J35="",K35=""),"待补价","价格不完整"))</x:f>
        <x:v>已完整</x:v>
      </x:c>
      <x:c r="O35" s="73"/>
      <x:c r="P35" s="73"/>
      <x:c r="Q35" s="73"/>
      <x:c r="R35" s="73" t="str">
        <x:f>IF(OR(O35="",P35=""),"",P35-O35-IF(Q35="",0,Q35))</x:f>
      </x:c>
      <x:c r="S35" s="80" t="str">
        <x:v>启用</x:v>
      </x:c>
      <x:c r="T35" s="80" t="str">
        <x:v>启用</x:v>
      </x:c>
      <x:c r="U35" s="62" t="str"/>
      <x:c r="V35" s="62" t="str">
        <x:v>2026-08-17 10:10:24+08:00</x:v>
      </x:c>
    </x:row>
    <x:row r="36">
      <x:c r="A36" s="62" t="str">
        <x:v>PROD-JD-EMG4418824976893</x:v>
      </x:c>
      <x:c r="B36" s="83" t="str">
        <x:v>牛腱子(谷饲牛腱子)</x:v>
      </x:c>
      <x:c r="C36" s="62" t="str">
        <x:v>牛肉</x:v>
      </x:c>
      <x:c r="D36" s="62" t="str">
        <x:v>SKU-JD-000037</x:v>
      </x:c>
      <x:c r="E36" s="62" t="str">
        <x:v>500g</x:v>
      </x:c>
      <x:c r="F36" s="62" t="str">
        <x:v>件</x:v>
      </x:c>
      <x:c r="G36" s="62" t="str">
        <x:v>京东云仓</x:v>
      </x:c>
      <x:c r="H36" s="62" t="str">
        <x:v>JD_WAREHOUSE</x:v>
      </x:c>
      <x:c r="I36" s="62" t="str">
        <x:v>EMG4418824976893</x:v>
      </x:c>
      <x:c r="J36" s="73" t="n">
        <x:v>118</x:v>
      </x:c>
      <x:c r="K36" s="73" t="n">
        <x:v>138</x:v>
      </x:c>
      <x:c r="L36" s="73" t="n">
        <x:f>IF(OR(J36="",K36=""),"",K36-J36)</x:f>
        <x:v>20</x:v>
      </x:c>
      <x:c r="M36" s="74" t="n">
        <x:f>IFERROR(L36/K36,"")</x:f>
        <x:v>0.14492753623188406</x:v>
      </x:c>
      <x:c r="N36" s="80" t="str">
        <x:f>IF(AND(J36&lt;&gt;"",K36&lt;&gt;""),"已完整",IF(AND(J36="",K36=""),"待补价","价格不完整"))</x:f>
        <x:v>已完整</x:v>
      </x:c>
      <x:c r="O36" s="73"/>
      <x:c r="P36" s="73"/>
      <x:c r="Q36" s="73"/>
      <x:c r="R36" s="73" t="str">
        <x:f>IF(OR(O36="",P36=""),"",P36-O36-IF(Q36="",0,Q36))</x:f>
      </x:c>
      <x:c r="S36" s="80" t="str">
        <x:v>启用</x:v>
      </x:c>
      <x:c r="T36" s="80" t="str">
        <x:v>启用</x:v>
      </x:c>
      <x:c r="U36" s="62" t="str"/>
      <x:c r="V36" s="62" t="str">
        <x:v>2026-08-17 10:10:24+08:00</x:v>
      </x:c>
    </x:row>
    <x:row r="37">
      <x:c r="A37" s="62" t="str">
        <x:v>PROD-JD-EMG4418705676249</x:v>
      </x:c>
      <x:c r="B37" s="83" t="str">
        <x:v>筋头巴脑(500g)</x:v>
      </x:c>
      <x:c r="C37" s="62" t="str">
        <x:v>牛肉</x:v>
      </x:c>
      <x:c r="D37" s="62" t="str">
        <x:v>SKU-JD-000026</x:v>
      </x:c>
      <x:c r="E37" s="62" t="str">
        <x:v>500g</x:v>
      </x:c>
      <x:c r="F37" s="62" t="str">
        <x:v>件</x:v>
      </x:c>
      <x:c r="G37" s="62" t="str">
        <x:v>京东云仓</x:v>
      </x:c>
      <x:c r="H37" s="62" t="str">
        <x:v>JD_WAREHOUSE</x:v>
      </x:c>
      <x:c r="I37" s="62" t="str">
        <x:v>EMG4418705676249</x:v>
      </x:c>
      <x:c r="J37" s="73" t="n">
        <x:v>94</x:v>
      </x:c>
      <x:c r="K37" s="73" t="n">
        <x:v>138</x:v>
      </x:c>
      <x:c r="L37" s="73" t="n">
        <x:f>IF(OR(J37="",K37=""),"",K37-J37)</x:f>
        <x:v>44</x:v>
      </x:c>
      <x:c r="M37" s="74" t="n">
        <x:f>IFERROR(L37/K37,"")</x:f>
        <x:v>0.3188405797101449</x:v>
      </x:c>
      <x:c r="N37" s="80" t="str">
        <x:f>IF(AND(J37&lt;&gt;"",K37&lt;&gt;""),"已完整",IF(AND(J37="",K37=""),"待补价","价格不完整"))</x:f>
        <x:v>已完整</x:v>
      </x:c>
      <x:c r="O37" s="73"/>
      <x:c r="P37" s="73"/>
      <x:c r="Q37" s="73"/>
      <x:c r="R37" s="73" t="str">
        <x:f>IF(OR(O37="",P37=""),"",P37-O37-IF(Q37="",0,Q37))</x:f>
      </x:c>
      <x:c r="S37" s="80" t="str">
        <x:v>启用</x:v>
      </x:c>
      <x:c r="T37" s="80" t="str">
        <x:v>启用</x:v>
      </x:c>
      <x:c r="U37" s="62" t="str"/>
      <x:c r="V37" s="62" t="str">
        <x:v>2026-08-17 10:10:24+08:00</x:v>
      </x:c>
    </x:row>
    <x:row r="38">
      <x:c r="A38" s="62" t="str">
        <x:v>PROD-JD-EMG4418767478832</x:v>
      </x:c>
      <x:c r="B38" s="83" t="str">
        <x:v>精选牛肉卷</x:v>
      </x:c>
      <x:c r="C38" s="62" t="str">
        <x:v>牛肉</x:v>
      </x:c>
      <x:c r="D38" s="62" t="str">
        <x:v>SKU-JD-000019</x:v>
      </x:c>
      <x:c r="E38" s="62" t="str">
        <x:v>待维护</x:v>
      </x:c>
      <x:c r="F38" s="62" t="str">
        <x:v>件</x:v>
      </x:c>
      <x:c r="G38" s="62" t="str">
        <x:v>京东云仓</x:v>
      </x:c>
      <x:c r="H38" s="62" t="str">
        <x:v>JD_WAREHOUSE</x:v>
      </x:c>
      <x:c r="I38" s="62" t="str">
        <x:v>EMG4418767478832</x:v>
      </x:c>
      <x:c r="J38" s="73"/>
      <x:c r="K38" s="73"/>
      <x:c r="L38" s="73" t="str">
        <x:f>IF(OR(J38="",K38=""),"",K38-J38)</x:f>
      </x:c>
      <x:c r="M38" s="74" t="str">
        <x:f>IFERROR(L38/K38,"")</x:f>
      </x:c>
      <x:c r="N38" s="80" t="str">
        <x:f>IF(AND(J38&lt;&gt;"",K38&lt;&gt;""),"已完整",IF(AND(J38="",K38=""),"待补价","价格不完整"))</x:f>
        <x:v>待补价</x:v>
      </x:c>
      <x:c r="O38" s="73"/>
      <x:c r="P38" s="73"/>
      <x:c r="Q38" s="73"/>
      <x:c r="R38" s="73" t="str">
        <x:f>IF(OR(O38="",P38=""),"",P38-O38-IF(Q38="",0,Q38))</x:f>
      </x:c>
      <x:c r="S38" s="80" t="str">
        <x:v>启用</x:v>
      </x:c>
      <x:c r="T38" s="80" t="str">
        <x:v>启用</x:v>
      </x:c>
      <x:c r="U38" s="62" t="str"/>
      <x:c r="V38" s="62" t="str">
        <x:v>2026-08-17 10:10:24+08:00</x:v>
      </x:c>
    </x:row>
    <x:row r="39">
      <x:c r="A39" s="62" t="str">
        <x:v>PROD-JD-EMG4418903135378</x:v>
      </x:c>
      <x:c r="B39" s="83" t="str">
        <x:v>肥牛</x:v>
      </x:c>
      <x:c r="C39" s="62" t="str">
        <x:v>牛肉</x:v>
      </x:c>
      <x:c r="D39" s="62" t="str">
        <x:v>SKU-JD-000053</x:v>
      </x:c>
      <x:c r="E39" s="62" t="str">
        <x:v>待维护</x:v>
      </x:c>
      <x:c r="F39" s="62" t="str">
        <x:v>件</x:v>
      </x:c>
      <x:c r="G39" s="62" t="str">
        <x:v>京东云仓</x:v>
      </x:c>
      <x:c r="H39" s="62" t="str">
        <x:v>JD_WAREHOUSE</x:v>
      </x:c>
      <x:c r="I39" s="62" t="str">
        <x:v>EMG4418903135378</x:v>
      </x:c>
      <x:c r="J39" s="73"/>
      <x:c r="K39" s="73"/>
      <x:c r="L39" s="73" t="str">
        <x:f>IF(OR(J39="",K39=""),"",K39-J39)</x:f>
      </x:c>
      <x:c r="M39" s="74" t="str">
        <x:f>IFERROR(L39/K39,"")</x:f>
      </x:c>
      <x:c r="N39" s="80" t="str">
        <x:f>IF(AND(J39&lt;&gt;"",K39&lt;&gt;""),"已完整",IF(AND(J39="",K39=""),"待补价","价格不完整"))</x:f>
        <x:v>待补价</x:v>
      </x:c>
      <x:c r="O39" s="73"/>
      <x:c r="P39" s="73"/>
      <x:c r="Q39" s="73"/>
      <x:c r="R39" s="73" t="str">
        <x:f>IF(OR(O39="",P39=""),"",P39-O39-IF(Q39="",0,Q39))</x:f>
      </x:c>
      <x:c r="S39" s="80" t="str">
        <x:v>启用</x:v>
      </x:c>
      <x:c r="T39" s="80" t="str">
        <x:v>启用</x:v>
      </x:c>
      <x:c r="U39" s="62" t="str"/>
      <x:c r="V39" s="62" t="str">
        <x:v>2026-08-17 10:10:24+08:00</x:v>
      </x:c>
    </x:row>
    <x:row r="40">
      <x:c r="A40" s="62" t="str">
        <x:v>PROD-JD-EMG4418904463768</x:v>
      </x:c>
      <x:c r="B40" s="83" t="str">
        <x:v>肩胛烤肉片</x:v>
      </x:c>
      <x:c r="C40" s="62" t="str">
        <x:v>牛肉</x:v>
      </x:c>
      <x:c r="D40" s="62" t="str">
        <x:v>SKU-JD-000033</x:v>
      </x:c>
      <x:c r="E40" s="62" t="str">
        <x:v>120g</x:v>
      </x:c>
      <x:c r="F40" s="62" t="str">
        <x:v>件</x:v>
      </x:c>
      <x:c r="G40" s="62" t="str">
        <x:v>京东云仓</x:v>
      </x:c>
      <x:c r="H40" s="62" t="str">
        <x:v>JD_WAREHOUSE</x:v>
      </x:c>
      <x:c r="I40" s="62" t="str">
        <x:v>EMG4418904463768</x:v>
      </x:c>
      <x:c r="J40" s="73"/>
      <x:c r="K40" s="73"/>
      <x:c r="L40" s="73" t="str">
        <x:f>IF(OR(J40="",K40=""),"",K40-J40)</x:f>
      </x:c>
      <x:c r="M40" s="74" t="str">
        <x:f>IFERROR(L40/K40,"")</x:f>
      </x:c>
      <x:c r="N40" s="80" t="str">
        <x:f>IF(AND(J40&lt;&gt;"",K40&lt;&gt;""),"已完整",IF(AND(J40="",K40=""),"待补价","价格不完整"))</x:f>
        <x:v>待补价</x:v>
      </x:c>
      <x:c r="O40" s="73"/>
      <x:c r="P40" s="73"/>
      <x:c r="Q40" s="73"/>
      <x:c r="R40" s="73" t="str">
        <x:f>IF(OR(O40="",P40=""),"",P40-O40-IF(Q40="",0,Q40))</x:f>
      </x:c>
      <x:c r="S40" s="80" t="str">
        <x:v>启用</x:v>
      </x:c>
      <x:c r="T40" s="80" t="str">
        <x:v>启用</x:v>
      </x:c>
      <x:c r="U40" s="62" t="str"/>
      <x:c r="V40" s="62" t="str">
        <x:v>2026-08-17 10:10:24+08:00</x:v>
      </x:c>
    </x:row>
    <x:row r="41">
      <x:c r="A41" s="62" t="str">
        <x:v>PROD-JD-EMG4418767456456</x:v>
      </x:c>
      <x:c r="B41" s="83" t="str">
        <x:v>韩式家庭烤肉150g</x:v>
      </x:c>
      <x:c r="C41" s="62" t="str">
        <x:v>牛肉</x:v>
      </x:c>
      <x:c r="D41" s="62" t="str">
        <x:v>SKU-JD-000045</x:v>
      </x:c>
      <x:c r="E41" s="62" t="str">
        <x:v>150g</x:v>
      </x:c>
      <x:c r="F41" s="62" t="str">
        <x:v>件</x:v>
      </x:c>
      <x:c r="G41" s="62" t="str">
        <x:v>京东云仓</x:v>
      </x:c>
      <x:c r="H41" s="62" t="str">
        <x:v>JD_WAREHOUSE</x:v>
      </x:c>
      <x:c r="I41" s="62" t="str">
        <x:v>EMG4418767456456</x:v>
      </x:c>
      <x:c r="J41" s="73"/>
      <x:c r="K41" s="73"/>
      <x:c r="L41" s="73" t="str">
        <x:f>IF(OR(J41="",K41=""),"",K41-J41)</x:f>
      </x:c>
      <x:c r="M41" s="74" t="str">
        <x:f>IFERROR(L41/K41,"")</x:f>
      </x:c>
      <x:c r="N41" s="80" t="str">
        <x:f>IF(AND(J41&lt;&gt;"",K41&lt;&gt;""),"已完整",IF(AND(J41="",K41=""),"待补价","价格不完整"))</x:f>
        <x:v>待补价</x:v>
      </x:c>
      <x:c r="O41" s="73"/>
      <x:c r="P41" s="73"/>
      <x:c r="Q41" s="73"/>
      <x:c r="R41" s="73" t="str">
        <x:f>IF(OR(O41="",P41=""),"",P41-O41-IF(Q41="",0,Q41))</x:f>
      </x:c>
      <x:c r="S41" s="80" t="str">
        <x:v>启用</x:v>
      </x:c>
      <x:c r="T41" s="80" t="str">
        <x:v>启用</x:v>
      </x:c>
      <x:c r="U41" s="62" t="str"/>
      <x:c r="V41" s="62" t="str">
        <x:v>2026-08-17 10:10:24+08:00</x:v>
      </x:c>
    </x:row>
    <x:row r="42">
      <x:c r="A42" s="62" t="str">
        <x:v>PROD-TP-ZHONGHUI-83755271</x:v>
      </x:c>
      <x:c r="B42" s="83" t="str">
        <x:v>子牧雷山高海拔农家散养土黑猪五花肉450g*2</x:v>
      </x:c>
      <x:c r="C42" s="62" t="str">
        <x:v>猪肉</x:v>
      </x:c>
      <x:c r="D42" s="62" t="str">
        <x:v>SKU-TP-000063</x:v>
      </x:c>
      <x:c r="E42" s="62" t="str">
        <x:v>450g*2</x:v>
      </x:c>
      <x:c r="F42" s="62" t="str">
        <x:v>袋</x:v>
      </x:c>
      <x:c r="G42" s="62" t="str">
        <x:v>第三方履约</x:v>
      </x:c>
      <x:c r="H42" s="62" t="str">
        <x:v>THIRD_PARTY</x:v>
      </x:c>
      <x:c r="I42" s="62" t="str">
        <x:v>83755271</x:v>
      </x:c>
      <x:c r="J42" s="73" t="n">
        <x:v>84</x:v>
      </x:c>
      <x:c r="K42" s="73" t="n">
        <x:v>118</x:v>
      </x:c>
      <x:c r="L42" s="73" t="n">
        <x:f>IF(OR(J42="",K42=""),"",K42-J42)</x:f>
        <x:v>34</x:v>
      </x:c>
      <x:c r="M42" s="74" t="n">
        <x:f>IFERROR(L42/K42,"")</x:f>
        <x:v>0.288135593220339</x:v>
      </x:c>
      <x:c r="N42" s="80" t="str">
        <x:f>IF(AND(J42&lt;&gt;"",K42&lt;&gt;""),"已完整",IF(AND(J42="",K42=""),"待补价","价格不完整"))</x:f>
        <x:v>已完整</x:v>
      </x:c>
      <x:c r="O42" s="73" t="n">
        <x:v>84</x:v>
      </x:c>
      <x:c r="P42" s="73" t="n">
        <x:v>118</x:v>
      </x:c>
      <x:c r="Q42" s="73"/>
      <x:c r="R42" s="73" t="n">
        <x:f>IF(OR(O42="",P42=""),"",P42-O42-IF(Q42="",0,Q42))</x:f>
        <x:v>34</x:v>
      </x:c>
      <x:c r="S42" s="80" t="str">
        <x:v>启用</x:v>
      </x:c>
      <x:c r="T42" s="80" t="str">
        <x:v>启用</x:v>
      </x:c>
      <x:c r="U42" s="62" t="str"/>
      <x:c r="V42" s="62" t="str">
        <x:v>2026-08-21 10:50:10+08:00</x:v>
      </x:c>
    </x:row>
    <x:row r="43">
      <x:c r="A43" s="62" t="str">
        <x:v>PROD-TP-ZHONGHUI-83755270</x:v>
      </x:c>
      <x:c r="B43" s="83" t="str">
        <x:v>子牧雷山高海拔农家散养土黑猪排骨450g*2</x:v>
      </x:c>
      <x:c r="C43" s="62" t="str">
        <x:v>猪肉</x:v>
      </x:c>
      <x:c r="D43" s="62" t="str">
        <x:v>SKU-TP-000064</x:v>
      </x:c>
      <x:c r="E43" s="62" t="str">
        <x:v>450g*2</x:v>
      </x:c>
      <x:c r="F43" s="62" t="str">
        <x:v>袋</x:v>
      </x:c>
      <x:c r="G43" s="62" t="str">
        <x:v>第三方履约</x:v>
      </x:c>
      <x:c r="H43" s="62" t="str">
        <x:v>THIRD_PARTY</x:v>
      </x:c>
      <x:c r="I43" s="62" t="str">
        <x:v>83755270</x:v>
      </x:c>
      <x:c r="J43" s="73" t="n">
        <x:v>84</x:v>
      </x:c>
      <x:c r="K43" s="73" t="n">
        <x:v>118</x:v>
      </x:c>
      <x:c r="L43" s="73" t="n">
        <x:f>IF(OR(J43="",K43=""),"",K43-J43)</x:f>
        <x:v>34</x:v>
      </x:c>
      <x:c r="M43" s="74" t="n">
        <x:f>IFERROR(L43/K43,"")</x:f>
        <x:v>0.288135593220339</x:v>
      </x:c>
      <x:c r="N43" s="80" t="str">
        <x:f>IF(AND(J43&lt;&gt;"",K43&lt;&gt;""),"已完整",IF(AND(J43="",K43=""),"待补价","价格不完整"))</x:f>
        <x:v>已完整</x:v>
      </x:c>
      <x:c r="O43" s="73" t="n">
        <x:v>84</x:v>
      </x:c>
      <x:c r="P43" s="73" t="n">
        <x:v>118</x:v>
      </x:c>
      <x:c r="Q43" s="73"/>
      <x:c r="R43" s="73" t="n">
        <x:f>IF(OR(O43="",P43=""),"",P43-O43-IF(Q43="",0,Q43))</x:f>
        <x:v>34</x:v>
      </x:c>
      <x:c r="S43" s="80" t="str">
        <x:v>启用</x:v>
      </x:c>
      <x:c r="T43" s="80" t="str">
        <x:v>启用</x:v>
      </x:c>
      <x:c r="U43" s="62" t="str"/>
      <x:c r="V43" s="62" t="str">
        <x:v>2026-08-21 10:50:11+08:00</x:v>
      </x:c>
    </x:row>
    <x:row r="44">
      <x:c r="A44" s="62" t="str">
        <x:v>PROD-JD-EMG4418726551051</x:v>
      </x:c>
      <x:c r="B44" s="83" t="str">
        <x:v>海盐五花肉120g</x:v>
      </x:c>
      <x:c r="C44" s="62" t="str">
        <x:v>猪肉</x:v>
      </x:c>
      <x:c r="D44" s="62" t="str">
        <x:v>SKU-JD-000041</x:v>
      </x:c>
      <x:c r="E44" s="62" t="str">
        <x:v>120g</x:v>
      </x:c>
      <x:c r="F44" s="62" t="str">
        <x:v>件</x:v>
      </x:c>
      <x:c r="G44" s="62" t="str">
        <x:v>京东云仓</x:v>
      </x:c>
      <x:c r="H44" s="62" t="str">
        <x:v>JD_WAREHOUSE</x:v>
      </x:c>
      <x:c r="I44" s="62" t="str">
        <x:v>EMG4418726551051</x:v>
      </x:c>
      <x:c r="J44" s="73"/>
      <x:c r="K44" s="73"/>
      <x:c r="L44" s="73" t="str">
        <x:f>IF(OR(J44="",K44=""),"",K44-J44)</x:f>
      </x:c>
      <x:c r="M44" s="74" t="str">
        <x:f>IFERROR(L44/K44,"")</x:f>
      </x:c>
      <x:c r="N44" s="80" t="str">
        <x:f>IF(AND(J44&lt;&gt;"",K44&lt;&gt;""),"已完整",IF(AND(J44="",K44=""),"待补价","价格不完整"))</x:f>
        <x:v>待补价</x:v>
      </x:c>
      <x:c r="O44" s="73"/>
      <x:c r="P44" s="73"/>
      <x:c r="Q44" s="73"/>
      <x:c r="R44" s="73" t="str">
        <x:f>IF(OR(O44="",P44=""),"",P44-O44-IF(Q44="",0,Q44))</x:f>
      </x:c>
      <x:c r="S44" s="80" t="str">
        <x:v>启用</x:v>
      </x:c>
      <x:c r="T44" s="80" t="str">
        <x:v>启用</x:v>
      </x:c>
      <x:c r="U44" s="62" t="str"/>
      <x:c r="V44" s="62" t="str">
        <x:v>2026-08-17 10:10:24+08:00</x:v>
      </x:c>
    </x:row>
    <x:row r="45">
      <x:c r="A45" s="62" t="str">
        <x:v>PROD-JD-EMG4418767454800</x:v>
      </x:c>
      <x:c r="B45" s="83" t="str">
        <x:v>黄金六两120g</x:v>
      </x:c>
      <x:c r="C45" s="62" t="str">
        <x:v>猪肉</x:v>
      </x:c>
      <x:c r="D45" s="62" t="str">
        <x:v>SKU-JD-000042</x:v>
      </x:c>
      <x:c r="E45" s="62" t="str">
        <x:v>120g</x:v>
      </x:c>
      <x:c r="F45" s="62" t="str">
        <x:v>件</x:v>
      </x:c>
      <x:c r="G45" s="62" t="str">
        <x:v>京东云仓</x:v>
      </x:c>
      <x:c r="H45" s="62" t="str">
        <x:v>JD_WAREHOUSE</x:v>
      </x:c>
      <x:c r="I45" s="62" t="str">
        <x:v>EMG4418767454800</x:v>
      </x:c>
      <x:c r="J45" s="73"/>
      <x:c r="K45" s="73"/>
      <x:c r="L45" s="73" t="str">
        <x:f>IF(OR(J45="",K45=""),"",K45-J45)</x:f>
      </x:c>
      <x:c r="M45" s="74" t="str">
        <x:f>IFERROR(L45/K45,"")</x:f>
      </x:c>
      <x:c r="N45" s="80" t="str">
        <x:f>IF(AND(J45&lt;&gt;"",K45&lt;&gt;""),"已完整",IF(AND(J45="",K45=""),"待补价","价格不完整"))</x:f>
        <x:v>待补价</x:v>
      </x:c>
      <x:c r="O45" s="73"/>
      <x:c r="P45" s="73"/>
      <x:c r="Q45" s="73"/>
      <x:c r="R45" s="73" t="str">
        <x:f>IF(OR(O45="",P45=""),"",P45-O45-IF(Q45="",0,Q45))</x:f>
      </x:c>
      <x:c r="S45" s="80" t="str">
        <x:v>启用</x:v>
      </x:c>
      <x:c r="T45" s="80" t="str">
        <x:v>启用</x:v>
      </x:c>
      <x:c r="U45" s="62" t="str"/>
      <x:c r="V45" s="62" t="str">
        <x:v>2026-08-17 10:10:24+08:00</x:v>
      </x:c>
    </x:row>
    <x:row r="46">
      <x:c r="A46" s="62" t="str">
        <x:v>PROD-JD-EMG4419200212053</x:v>
      </x:c>
      <x:c r="B46" s="83" t="str">
        <x:v>鸡肉烧烤组合</x:v>
      </x:c>
      <x:c r="C46" s="62" t="str">
        <x:v>禽肉</x:v>
      </x:c>
      <x:c r="D46" s="62" t="str">
        <x:v>SKU-JD-000060</x:v>
      </x:c>
      <x:c r="E46" s="62" t="str">
        <x:v>待维护</x:v>
      </x:c>
      <x:c r="F46" s="62" t="str">
        <x:v>件</x:v>
      </x:c>
      <x:c r="G46" s="62" t="str">
        <x:v>京东云仓</x:v>
      </x:c>
      <x:c r="H46" s="62" t="str">
        <x:v>JD_WAREHOUSE</x:v>
      </x:c>
      <x:c r="I46" s="62" t="str">
        <x:v>EMG4419200212053</x:v>
      </x:c>
      <x:c r="J46" s="73"/>
      <x:c r="K46" s="73"/>
      <x:c r="L46" s="73" t="str">
        <x:f>IF(OR(J46="",K46=""),"",K46-J46)</x:f>
      </x:c>
      <x:c r="M46" s="74" t="str">
        <x:f>IFERROR(L46/K46,"")</x:f>
      </x:c>
      <x:c r="N46" s="80" t="str">
        <x:f>IF(AND(J46&lt;&gt;"",K46&lt;&gt;""),"已完整",IF(AND(J46="",K46=""),"待补价","价格不完整"))</x:f>
        <x:v>待补价</x:v>
      </x:c>
      <x:c r="O46" s="73"/>
      <x:c r="P46" s="73"/>
      <x:c r="Q46" s="73"/>
      <x:c r="R46" s="73" t="str">
        <x:f>IF(OR(O46="",P46=""),"",P46-O46-IF(Q46="",0,Q46))</x:f>
      </x:c>
      <x:c r="S46" s="80" t="str">
        <x:v>启用</x:v>
      </x:c>
      <x:c r="T46" s="80" t="str">
        <x:v>启用</x:v>
      </x:c>
      <x:c r="U46" s="62" t="str"/>
      <x:c r="V46" s="62" t="str">
        <x:v>2026-08-17 10:10:24+08:00</x:v>
      </x:c>
    </x:row>
    <x:row r="47">
      <x:c r="A47" s="62" t="str">
        <x:v>PROD-JD-EMG4418727188031</x:v>
      </x:c>
      <x:c r="B47" s="83" t="str">
        <x:v>东乡贡羊羔羊羊尾尖</x:v>
      </x:c>
      <x:c r="C47" s="62" t="str">
        <x:v>羊肉</x:v>
      </x:c>
      <x:c r="D47" s="62" t="str">
        <x:v>SKU-JD-000050</x:v>
      </x:c>
      <x:c r="E47" s="62" t="str">
        <x:v>500g</x:v>
      </x:c>
      <x:c r="F47" s="62" t="str">
        <x:v>件</x:v>
      </x:c>
      <x:c r="G47" s="62" t="str">
        <x:v>京东云仓</x:v>
      </x:c>
      <x:c r="H47" s="62" t="str">
        <x:v>JD_WAREHOUSE</x:v>
      </x:c>
      <x:c r="I47" s="62" t="str">
        <x:v>EMG4418727188031</x:v>
      </x:c>
      <x:c r="J47" s="73"/>
      <x:c r="K47" s="73"/>
      <x:c r="L47" s="73" t="str">
        <x:f>IF(OR(J47="",K47=""),"",K47-J47)</x:f>
      </x:c>
      <x:c r="M47" s="74" t="str">
        <x:f>IFERROR(L47/K47,"")</x:f>
      </x:c>
      <x:c r="N47" s="80" t="str">
        <x:f>IF(AND(J47&lt;&gt;"",K47&lt;&gt;""),"已完整",IF(AND(J47="",K47=""),"待补价","价格不完整"))</x:f>
        <x:v>待补价</x:v>
      </x:c>
      <x:c r="O47" s="73"/>
      <x:c r="P47" s="73"/>
      <x:c r="Q47" s="73"/>
      <x:c r="R47" s="73" t="str">
        <x:f>IF(OR(O47="",P47=""),"",P47-O47-IF(Q47="",0,Q47))</x:f>
      </x:c>
      <x:c r="S47" s="80" t="str">
        <x:v>启用</x:v>
      </x:c>
      <x:c r="T47" s="80" t="str">
        <x:v>启用</x:v>
      </x:c>
      <x:c r="U47" s="62" t="str"/>
      <x:c r="V47" s="62" t="str">
        <x:v>2026-08-17 10:10:24+08:00</x:v>
      </x:c>
    </x:row>
    <x:row r="48">
      <x:c r="A48" s="62" t="str">
        <x:v>PROD-JD-EMG4418727177771</x:v>
      </x:c>
      <x:c r="B48" s="83" t="str">
        <x:v>东乡贡羊羔羊羊排块</x:v>
      </x:c>
      <x:c r="C48" s="62" t="str">
        <x:v>羊肉</x:v>
      </x:c>
      <x:c r="D48" s="62" t="str">
        <x:v>SKU-JD-000039</x:v>
      </x:c>
      <x:c r="E48" s="62" t="str">
        <x:v>500g</x:v>
      </x:c>
      <x:c r="F48" s="62" t="str">
        <x:v>件</x:v>
      </x:c>
      <x:c r="G48" s="62" t="str">
        <x:v>京东云仓</x:v>
      </x:c>
      <x:c r="H48" s="62" t="str">
        <x:v>JD_WAREHOUSE</x:v>
      </x:c>
      <x:c r="I48" s="62" t="str">
        <x:v>EMG4418727177771</x:v>
      </x:c>
      <x:c r="J48" s="73"/>
      <x:c r="K48" s="73"/>
      <x:c r="L48" s="73" t="str">
        <x:f>IF(OR(J48="",K48=""),"",K48-J48)</x:f>
      </x:c>
      <x:c r="M48" s="74" t="str">
        <x:f>IFERROR(L48/K48,"")</x:f>
      </x:c>
      <x:c r="N48" s="80" t="str">
        <x:f>IF(AND(J48&lt;&gt;"",K48&lt;&gt;""),"已完整",IF(AND(J48="",K48=""),"待补价","价格不完整"))</x:f>
        <x:v>待补价</x:v>
      </x:c>
      <x:c r="O48" s="73"/>
      <x:c r="P48" s="73"/>
      <x:c r="Q48" s="73"/>
      <x:c r="R48" s="73" t="str">
        <x:f>IF(OR(O48="",P48=""),"",P48-O48-IF(Q48="",0,Q48))</x:f>
      </x:c>
      <x:c r="S48" s="80" t="str">
        <x:v>启用</x:v>
      </x:c>
      <x:c r="T48" s="80" t="str">
        <x:v>启用</x:v>
      </x:c>
      <x:c r="U48" s="62" t="str"/>
      <x:c r="V48" s="62" t="str">
        <x:v>2026-08-17 10:10:24+08:00</x:v>
      </x:c>
    </x:row>
    <x:row r="49">
      <x:c r="A49" s="62" t="str">
        <x:v>PROD-JD-EMG4418691857578</x:v>
      </x:c>
      <x:c r="B49" s="83" t="str">
        <x:v>东乡贡羊羔羊羊肉卷</x:v>
      </x:c>
      <x:c r="C49" s="62" t="str">
        <x:v>羊肉</x:v>
      </x:c>
      <x:c r="D49" s="62" t="str">
        <x:v>SKU-JD-000038</x:v>
      </x:c>
      <x:c r="E49" s="62" t="str">
        <x:v>500g</x:v>
      </x:c>
      <x:c r="F49" s="62" t="str">
        <x:v>件</x:v>
      </x:c>
      <x:c r="G49" s="62" t="str">
        <x:v>京东云仓</x:v>
      </x:c>
      <x:c r="H49" s="62" t="str">
        <x:v>JD_WAREHOUSE</x:v>
      </x:c>
      <x:c r="I49" s="62" t="str">
        <x:v>EMG4418691857578</x:v>
      </x:c>
      <x:c r="J49" s="73"/>
      <x:c r="K49" s="73"/>
      <x:c r="L49" s="73" t="str">
        <x:f>IF(OR(J49="",K49=""),"",K49-J49)</x:f>
      </x:c>
      <x:c r="M49" s="74" t="str">
        <x:f>IFERROR(L49/K49,"")</x:f>
      </x:c>
      <x:c r="N49" s="80" t="str">
        <x:f>IF(AND(J49&lt;&gt;"",K49&lt;&gt;""),"已完整",IF(AND(J49="",K49=""),"待补价","价格不完整"))</x:f>
        <x:v>待补价</x:v>
      </x:c>
      <x:c r="O49" s="73"/>
      <x:c r="P49" s="73"/>
      <x:c r="Q49" s="73"/>
      <x:c r="R49" s="73" t="str">
        <x:f>IF(OR(O49="",P49=""),"",P49-O49-IF(Q49="",0,Q49))</x:f>
      </x:c>
      <x:c r="S49" s="80" t="str">
        <x:v>启用</x:v>
      </x:c>
      <x:c r="T49" s="80" t="str">
        <x:v>启用</x:v>
      </x:c>
      <x:c r="U49" s="62" t="str"/>
      <x:c r="V49" s="62" t="str">
        <x:v>2026-08-17 10:10:24+08:00</x:v>
      </x:c>
    </x:row>
    <x:row r="50">
      <x:c r="A50" s="62" t="str">
        <x:v>PROD-JD-EMG4418819505978</x:v>
      </x:c>
      <x:c r="B50" s="83" t="str">
        <x:v>东乡贡羊羔羊羊腱子</x:v>
      </x:c>
      <x:c r="C50" s="62" t="str">
        <x:v>羊肉</x:v>
      </x:c>
      <x:c r="D50" s="62" t="str">
        <x:v>SKU-JD-000016</x:v>
      </x:c>
      <x:c r="E50" s="62" t="str">
        <x:v>500g</x:v>
      </x:c>
      <x:c r="F50" s="62" t="str">
        <x:v>件</x:v>
      </x:c>
      <x:c r="G50" s="62" t="str">
        <x:v>京东云仓</x:v>
      </x:c>
      <x:c r="H50" s="62" t="str">
        <x:v>JD_WAREHOUSE</x:v>
      </x:c>
      <x:c r="I50" s="62" t="str">
        <x:v>EMG4418819505978</x:v>
      </x:c>
      <x:c r="J50" s="73"/>
      <x:c r="K50" s="73"/>
      <x:c r="L50" s="73" t="str">
        <x:f>IF(OR(J50="",K50=""),"",K50-J50)</x:f>
      </x:c>
      <x:c r="M50" s="74" t="str">
        <x:f>IFERROR(L50/K50,"")</x:f>
      </x:c>
      <x:c r="N50" s="80" t="str">
        <x:f>IF(AND(J50&lt;&gt;"",K50&lt;&gt;""),"已完整",IF(AND(J50="",K50=""),"待补价","价格不完整"))</x:f>
        <x:v>待补价</x:v>
      </x:c>
      <x:c r="O50" s="73"/>
      <x:c r="P50" s="73"/>
      <x:c r="Q50" s="73"/>
      <x:c r="R50" s="73" t="str">
        <x:f>IF(OR(O50="",P50=""),"",P50-O50-IF(Q50="",0,Q50))</x:f>
      </x:c>
      <x:c r="S50" s="80" t="str">
        <x:v>启用</x:v>
      </x:c>
      <x:c r="T50" s="80" t="str">
        <x:v>启用</x:v>
      </x:c>
      <x:c r="U50" s="62" t="str"/>
      <x:c r="V50" s="62" t="str">
        <x:v>2026-08-17 10:10:24+08:00</x:v>
      </x:c>
    </x:row>
    <x:row r="51">
      <x:c r="A51" s="62" t="str">
        <x:v>PROD-JD-EMG4418727177039</x:v>
      </x:c>
      <x:c r="B51" s="83" t="str">
        <x:v>东乡贡羊羔羊羊腿块</x:v>
      </x:c>
      <x:c r="C51" s="62" t="str">
        <x:v>羊肉</x:v>
      </x:c>
      <x:c r="D51" s="62" t="str">
        <x:v>SKU-JD-000017</x:v>
      </x:c>
      <x:c r="E51" s="62" t="str">
        <x:v>500g</x:v>
      </x:c>
      <x:c r="F51" s="62" t="str">
        <x:v>件</x:v>
      </x:c>
      <x:c r="G51" s="62" t="str">
        <x:v>京东云仓</x:v>
      </x:c>
      <x:c r="H51" s="62" t="str">
        <x:v>JD_WAREHOUSE</x:v>
      </x:c>
      <x:c r="I51" s="62" t="str">
        <x:v>EMG4418727177039</x:v>
      </x:c>
      <x:c r="J51" s="73"/>
      <x:c r="K51" s="73"/>
      <x:c r="L51" s="73" t="str">
        <x:f>IF(OR(J51="",K51=""),"",K51-J51)</x:f>
      </x:c>
      <x:c r="M51" s="74" t="str">
        <x:f>IFERROR(L51/K51,"")</x:f>
      </x:c>
      <x:c r="N51" s="80" t="str">
        <x:f>IF(AND(J51&lt;&gt;"",K51&lt;&gt;""),"已完整",IF(AND(J51="",K51=""),"待补价","价格不完整"))</x:f>
        <x:v>待补价</x:v>
      </x:c>
      <x:c r="O51" s="73"/>
      <x:c r="P51" s="73"/>
      <x:c r="Q51" s="73"/>
      <x:c r="R51" s="73" t="str">
        <x:f>IF(OR(O51="",P51=""),"",P51-O51-IF(Q51="",0,Q51))</x:f>
      </x:c>
      <x:c r="S51" s="80" t="str">
        <x:v>启用</x:v>
      </x:c>
      <x:c r="T51" s="80" t="str">
        <x:v>启用</x:v>
      </x:c>
      <x:c r="U51" s="62" t="str"/>
      <x:c r="V51" s="62" t="str">
        <x:v>2026-08-17 10:10:24+08:00</x:v>
      </x:c>
    </x:row>
    <x:row r="52">
      <x:c r="A52" s="62" t="str">
        <x:v>PROD-JD-EMG4418861057923</x:v>
      </x:c>
      <x:c r="B52" s="83" t="str">
        <x:v>东乡贡羊羔羊羊腿骨</x:v>
      </x:c>
      <x:c r="C52" s="62" t="str">
        <x:v>羊肉</x:v>
      </x:c>
      <x:c r="D52" s="62" t="str">
        <x:v>SKU-JD-000018</x:v>
      </x:c>
      <x:c r="E52" s="62" t="str">
        <x:v>500g</x:v>
      </x:c>
      <x:c r="F52" s="62" t="str">
        <x:v>件</x:v>
      </x:c>
      <x:c r="G52" s="62" t="str">
        <x:v>京东云仓</x:v>
      </x:c>
      <x:c r="H52" s="62" t="str">
        <x:v>JD_WAREHOUSE</x:v>
      </x:c>
      <x:c r="I52" s="62" t="str">
        <x:v>EMG4418861057923</x:v>
      </x:c>
      <x:c r="J52" s="73"/>
      <x:c r="K52" s="73"/>
      <x:c r="L52" s="73" t="str">
        <x:f>IF(OR(J52="",K52=""),"",K52-J52)</x:f>
      </x:c>
      <x:c r="M52" s="74" t="str">
        <x:f>IFERROR(L52/K52,"")</x:f>
      </x:c>
      <x:c r="N52" s="80" t="str">
        <x:f>IF(AND(J52&lt;&gt;"",K52&lt;&gt;""),"已完整",IF(AND(J52="",K52=""),"待补价","价格不完整"))</x:f>
        <x:v>待补价</x:v>
      </x:c>
      <x:c r="O52" s="73"/>
      <x:c r="P52" s="73"/>
      <x:c r="Q52" s="73"/>
      <x:c r="R52" s="73" t="str">
        <x:f>IF(OR(O52="",P52=""),"",P52-O52-IF(Q52="",0,Q52))</x:f>
      </x:c>
      <x:c r="S52" s="80" t="str">
        <x:v>启用</x:v>
      </x:c>
      <x:c r="T52" s="80" t="str">
        <x:v>启用</x:v>
      </x:c>
      <x:c r="U52" s="62" t="str"/>
      <x:c r="V52" s="62" t="str">
        <x:v>2026-08-17 10:10:24+08:00</x:v>
      </x:c>
    </x:row>
    <x:row r="53">
      <x:c r="A53" s="62" t="str">
        <x:v>PROD-JD-EMG4418767476480</x:v>
      </x:c>
      <x:c r="B53" s="83" t="str">
        <x:v>东乡贡羊羔羊羊蝎子</x:v>
      </x:c>
      <x:c r="C53" s="62" t="str">
        <x:v>羊肉</x:v>
      </x:c>
      <x:c r="D53" s="62" t="str">
        <x:v>SKU-JD-000040</x:v>
      </x:c>
      <x:c r="E53" s="62" t="str">
        <x:v>500g</x:v>
      </x:c>
      <x:c r="F53" s="62" t="str">
        <x:v>件</x:v>
      </x:c>
      <x:c r="G53" s="62" t="str">
        <x:v>京东云仓</x:v>
      </x:c>
      <x:c r="H53" s="62" t="str">
        <x:v>JD_WAREHOUSE</x:v>
      </x:c>
      <x:c r="I53" s="62" t="str">
        <x:v>EMG4418767476480</x:v>
      </x:c>
      <x:c r="J53" s="73"/>
      <x:c r="K53" s="73"/>
      <x:c r="L53" s="73" t="str">
        <x:f>IF(OR(J53="",K53=""),"",K53-J53)</x:f>
      </x:c>
      <x:c r="M53" s="74" t="str">
        <x:f>IFERROR(L53/K53,"")</x:f>
      </x:c>
      <x:c r="N53" s="80" t="str">
        <x:f>IF(AND(J53&lt;&gt;"",K53&lt;&gt;""),"已完整",IF(AND(J53="",K53=""),"待补价","价格不完整"))</x:f>
        <x:v>待补价</x:v>
      </x:c>
      <x:c r="O53" s="73"/>
      <x:c r="P53" s="73"/>
      <x:c r="Q53" s="73"/>
      <x:c r="R53" s="73" t="str">
        <x:f>IF(OR(O53="",P53=""),"",P53-O53-IF(Q53="",0,Q53))</x:f>
      </x:c>
      <x:c r="S53" s="80" t="str">
        <x:v>启用</x:v>
      </x:c>
      <x:c r="T53" s="80" t="str">
        <x:v>启用</x:v>
      </x:c>
      <x:c r="U53" s="62" t="str"/>
      <x:c r="V53" s="62" t="str">
        <x:v>2026-08-17 10:10:24+08:00</x:v>
      </x:c>
    </x:row>
    <x:row r="54">
      <x:c r="A54" s="62" t="str">
        <x:v>PROD-JD-EMG4418861053763</x:v>
      </x:c>
      <x:c r="B54" s="83" t="str">
        <x:v>带骨羊后腿块</x:v>
      </x:c>
      <x:c r="C54" s="62" t="str">
        <x:v>羊肉</x:v>
      </x:c>
      <x:c r="D54" s="62" t="str">
        <x:v>SKU-JD-000006</x:v>
      </x:c>
      <x:c r="E54" s="62" t="str">
        <x:v>500g</x:v>
      </x:c>
      <x:c r="F54" s="62" t="str">
        <x:v>件</x:v>
      </x:c>
      <x:c r="G54" s="62" t="str">
        <x:v>京东云仓</x:v>
      </x:c>
      <x:c r="H54" s="62" t="str">
        <x:v>JD_WAREHOUSE</x:v>
      </x:c>
      <x:c r="I54" s="62" t="str">
        <x:v>EMG4418861053763</x:v>
      </x:c>
      <x:c r="J54" s="73" t="n">
        <x:v>94</x:v>
      </x:c>
      <x:c r="K54" s="73" t="n">
        <x:v>136.5</x:v>
      </x:c>
      <x:c r="L54" s="73" t="n">
        <x:f>IF(OR(J54="",K54=""),"",K54-J54)</x:f>
        <x:v>42.5</x:v>
      </x:c>
      <x:c r="M54" s="74" t="n">
        <x:f>IFERROR(L54/K54,"")</x:f>
        <x:v>0.31135531135531136</x:v>
      </x:c>
      <x:c r="N54" s="80" t="str">
        <x:f>IF(AND(J54&lt;&gt;"",K54&lt;&gt;""),"已完整",IF(AND(J54="",K54=""),"待补价","价格不完整"))</x:f>
        <x:v>已完整</x:v>
      </x:c>
      <x:c r="O54" s="73"/>
      <x:c r="P54" s="73"/>
      <x:c r="Q54" s="73"/>
      <x:c r="R54" s="73" t="str">
        <x:f>IF(OR(O54="",P54=""),"",P54-O54-IF(Q54="",0,Q54))</x:f>
      </x:c>
      <x:c r="S54" s="80" t="str">
        <x:v>启用</x:v>
      </x:c>
      <x:c r="T54" s="80" t="str">
        <x:v>启用</x:v>
      </x:c>
      <x:c r="U54" s="62" t="str"/>
      <x:c r="V54" s="62" t="str">
        <x:v>2026-08-17 10:10:24+08:00</x:v>
      </x:c>
    </x:row>
    <x:row r="55">
      <x:c r="A55" s="62" t="str">
        <x:v>PROD-JD-EMG4418861052375</x:v>
      </x:c>
      <x:c r="B55" s="83" t="str">
        <x:v>带骨羊肉块</x:v>
      </x:c>
      <x:c r="C55" s="62" t="str">
        <x:v>羊肉</x:v>
      </x:c>
      <x:c r="D55" s="62" t="str">
        <x:v>SKU-JD-000003</x:v>
      </x:c>
      <x:c r="E55" s="62" t="str">
        <x:v>500g</x:v>
      </x:c>
      <x:c r="F55" s="62" t="str">
        <x:v>件</x:v>
      </x:c>
      <x:c r="G55" s="62" t="str">
        <x:v>京东云仓</x:v>
      </x:c>
      <x:c r="H55" s="62" t="str">
        <x:v>JD_WAREHOUSE</x:v>
      </x:c>
      <x:c r="I55" s="62" t="str">
        <x:v>EMG4418861052375</x:v>
      </x:c>
      <x:c r="J55" s="73" t="n">
        <x:v>95</x:v>
      </x:c>
      <x:c r="K55" s="73" t="n">
        <x:v>149</x:v>
      </x:c>
      <x:c r="L55" s="73" t="n">
        <x:f>IF(OR(J55="",K55=""),"",K55-J55)</x:f>
        <x:v>54</x:v>
      </x:c>
      <x:c r="M55" s="74" t="n">
        <x:f>IFERROR(L55/K55,"")</x:f>
        <x:v>0.3624161073825503</x:v>
      </x:c>
      <x:c r="N55" s="80" t="str">
        <x:f>IF(AND(J55&lt;&gt;"",K55&lt;&gt;""),"已完整",IF(AND(J55="",K55=""),"待补价","价格不完整"))</x:f>
        <x:v>已完整</x:v>
      </x:c>
      <x:c r="O55" s="73"/>
      <x:c r="P55" s="73"/>
      <x:c r="Q55" s="73"/>
      <x:c r="R55" s="73" t="str">
        <x:f>IF(OR(O55="",P55=""),"",P55-O55-IF(Q55="",0,Q55))</x:f>
      </x:c>
      <x:c r="S55" s="80" t="str">
        <x:v>启用</x:v>
      </x:c>
      <x:c r="T55" s="80" t="str">
        <x:v>启用</x:v>
      </x:c>
      <x:c r="U55" s="62" t="str"/>
      <x:c r="V55" s="62" t="str">
        <x:v>2026-08-17 10:10:24+08:00</x:v>
      </x:c>
    </x:row>
    <x:row r="56">
      <x:c r="A56" s="62" t="str">
        <x:v>PROD-JD-EMG4418904458528</x:v>
      </x:c>
      <x:c r="B56" s="83" t="str">
        <x:v>新西兰羔羊羊颈排</x:v>
      </x:c>
      <x:c r="C56" s="62" t="str">
        <x:v>羊肉</x:v>
      </x:c>
      <x:c r="D56" s="62" t="str">
        <x:v>SKU-JD-000011</x:v>
      </x:c>
      <x:c r="E56" s="62" t="str">
        <x:v>1kg</x:v>
      </x:c>
      <x:c r="F56" s="62" t="str">
        <x:v>件</x:v>
      </x:c>
      <x:c r="G56" s="62" t="str">
        <x:v>京东云仓</x:v>
      </x:c>
      <x:c r="H56" s="62" t="str">
        <x:v>JD_WAREHOUSE</x:v>
      </x:c>
      <x:c r="I56" s="62" t="str">
        <x:v>EMG4418904458528</x:v>
      </x:c>
      <x:c r="J56" s="73" t="n">
        <x:v>98</x:v>
      </x:c>
      <x:c r="K56" s="73" t="n">
        <x:v>116</x:v>
      </x:c>
      <x:c r="L56" s="73" t="n">
        <x:f>IF(OR(J56="",K56=""),"",K56-J56)</x:f>
        <x:v>18</x:v>
      </x:c>
      <x:c r="M56" s="74" t="n">
        <x:f>IFERROR(L56/K56,"")</x:f>
        <x:v>0.15517241379310345</x:v>
      </x:c>
      <x:c r="N56" s="80" t="str">
        <x:f>IF(AND(J56&lt;&gt;"",K56&lt;&gt;""),"已完整",IF(AND(J56="",K56=""),"待补价","价格不完整"))</x:f>
        <x:v>已完整</x:v>
      </x:c>
      <x:c r="O56" s="73"/>
      <x:c r="P56" s="73"/>
      <x:c r="Q56" s="73"/>
      <x:c r="R56" s="73" t="str">
        <x:f>IF(OR(O56="",P56=""),"",P56-O56-IF(Q56="",0,Q56))</x:f>
      </x:c>
      <x:c r="S56" s="80" t="str">
        <x:v>启用</x:v>
      </x:c>
      <x:c r="T56" s="80" t="str">
        <x:v>启用</x:v>
      </x:c>
      <x:c r="U56" s="62" t="str"/>
      <x:c r="V56" s="62" t="str">
        <x:v>2026-08-17 10:10:24+08:00</x:v>
      </x:c>
    </x:row>
    <x:row r="57">
      <x:c r="A57" s="62" t="str">
        <x:v>PROD-JD-EMG4418697325133</x:v>
      </x:c>
      <x:c r="B57" s="83" t="str">
        <x:v>新西兰羔羊肉卷</x:v>
      </x:c>
      <x:c r="C57" s="62" t="str">
        <x:v>羊肉</x:v>
      </x:c>
      <x:c r="D57" s="62" t="str">
        <x:v>SKU-JD-000012</x:v>
      </x:c>
      <x:c r="E57" s="62" t="str">
        <x:v>200g</x:v>
      </x:c>
      <x:c r="F57" s="62" t="str">
        <x:v>件</x:v>
      </x:c>
      <x:c r="G57" s="62" t="str">
        <x:v>京东云仓</x:v>
      </x:c>
      <x:c r="H57" s="62" t="str">
        <x:v>JD_WAREHOUSE</x:v>
      </x:c>
      <x:c r="I57" s="62" t="str">
        <x:v>EMG4418697325133</x:v>
      </x:c>
      <x:c r="J57" s="73" t="n">
        <x:v>101</x:v>
      </x:c>
      <x:c r="K57" s="73" t="n">
        <x:v>145</x:v>
      </x:c>
      <x:c r="L57" s="73" t="n">
        <x:f>IF(OR(J57="",K57=""),"",K57-J57)</x:f>
        <x:v>44</x:v>
      </x:c>
      <x:c r="M57" s="74" t="n">
        <x:f>IFERROR(L57/K57,"")</x:f>
        <x:v>0.30344827586206896</x:v>
      </x:c>
      <x:c r="N57" s="80" t="str">
        <x:f>IF(AND(J57&lt;&gt;"",K57&lt;&gt;""),"已完整",IF(AND(J57="",K57=""),"待补价","价格不完整"))</x:f>
        <x:v>已完整</x:v>
      </x:c>
      <x:c r="O57" s="73"/>
      <x:c r="P57" s="73"/>
      <x:c r="Q57" s="73"/>
      <x:c r="R57" s="73" t="str">
        <x:f>IF(OR(O57="",P57=""),"",P57-O57-IF(Q57="",0,Q57))</x:f>
      </x:c>
      <x:c r="S57" s="80" t="str">
        <x:v>启用</x:v>
      </x:c>
      <x:c r="T57" s="80" t="str">
        <x:v>启用</x:v>
      </x:c>
      <x:c r="U57" s="62" t="str"/>
      <x:c r="V57" s="62" t="str">
        <x:v>2026-08-17 10:10:24+08:00</x:v>
      </x:c>
    </x:row>
    <x:row r="58">
      <x:c r="A58" s="62" t="str">
        <x:v>PROD-JD-EMG4418819504770</x:v>
      </x:c>
      <x:c r="B58" s="83" t="str">
        <x:v>法式羊排</x:v>
      </x:c>
      <x:c r="C58" s="62" t="str">
        <x:v>羊肉</x:v>
      </x:c>
      <x:c r="D58" s="62" t="str">
        <x:v>SKU-JD-000010</x:v>
      </x:c>
      <x:c r="E58" s="62" t="str">
        <x:v>400g</x:v>
      </x:c>
      <x:c r="F58" s="62" t="str">
        <x:v>件</x:v>
      </x:c>
      <x:c r="G58" s="62" t="str">
        <x:v>京东云仓</x:v>
      </x:c>
      <x:c r="H58" s="62" t="str">
        <x:v>JD_WAREHOUSE</x:v>
      </x:c>
      <x:c r="I58" s="62" t="str">
        <x:v>EMG4418819504770</x:v>
      </x:c>
      <x:c r="J58" s="73"/>
      <x:c r="K58" s="73"/>
      <x:c r="L58" s="73" t="str">
        <x:f>IF(OR(J58="",K58=""),"",K58-J58)</x:f>
      </x:c>
      <x:c r="M58" s="74" t="str">
        <x:f>IFERROR(L58/K58,"")</x:f>
      </x:c>
      <x:c r="N58" s="80" t="str">
        <x:f>IF(AND(J58&lt;&gt;"",K58&lt;&gt;""),"已完整",IF(AND(J58="",K58=""),"待补价","价格不完整"))</x:f>
        <x:v>待补价</x:v>
      </x:c>
      <x:c r="O58" s="73"/>
      <x:c r="P58" s="73"/>
      <x:c r="Q58" s="73"/>
      <x:c r="R58" s="73" t="str">
        <x:f>IF(OR(O58="",P58=""),"",P58-O58-IF(Q58="",0,Q58))</x:f>
      </x:c>
      <x:c r="S58" s="80" t="str">
        <x:v>启用</x:v>
      </x:c>
      <x:c r="T58" s="80" t="str">
        <x:v>启用</x:v>
      </x:c>
      <x:c r="U58" s="62" t="str"/>
      <x:c r="V58" s="62" t="str">
        <x:v>2026-08-17 10:10:24+08:00</x:v>
      </x:c>
    </x:row>
    <x:row r="59">
      <x:c r="A59" s="62" t="str">
        <x:v>PROD-JD-EMG4418691851778</x:v>
      </x:c>
      <x:c r="B59" s="83" t="str">
        <x:v>羊小腿</x:v>
      </x:c>
      <x:c r="C59" s="62" t="str">
        <x:v>羊肉</x:v>
      </x:c>
      <x:c r="D59" s="62" t="str">
        <x:v>SKU-JD-000002</x:v>
      </x:c>
      <x:c r="E59" s="62" t="str">
        <x:v>500g</x:v>
      </x:c>
      <x:c r="F59" s="62" t="str">
        <x:v>件</x:v>
      </x:c>
      <x:c r="G59" s="62" t="str">
        <x:v>京东云仓</x:v>
      </x:c>
      <x:c r="H59" s="62" t="str">
        <x:v>JD_WAREHOUSE</x:v>
      </x:c>
      <x:c r="I59" s="62" t="str">
        <x:v>EMG4418691851778</x:v>
      </x:c>
      <x:c r="J59" s="73" t="n">
        <x:v>68</x:v>
      </x:c>
      <x:c r="K59" s="73" t="n">
        <x:v>99</x:v>
      </x:c>
      <x:c r="L59" s="73" t="n">
        <x:f>IF(OR(J59="",K59=""),"",K59-J59)</x:f>
        <x:v>31</x:v>
      </x:c>
      <x:c r="M59" s="74" t="n">
        <x:f>IFERROR(L59/K59,"")</x:f>
        <x:v>0.31313131313131315</x:v>
      </x:c>
      <x:c r="N59" s="80" t="str">
        <x:f>IF(AND(J59&lt;&gt;"",K59&lt;&gt;""),"已完整",IF(AND(J59="",K59=""),"待补价","价格不完整"))</x:f>
        <x:v>已完整</x:v>
      </x:c>
      <x:c r="O59" s="73"/>
      <x:c r="P59" s="73"/>
      <x:c r="Q59" s="73"/>
      <x:c r="R59" s="73" t="str">
        <x:f>IF(OR(O59="",P59=""),"",P59-O59-IF(Q59="",0,Q59))</x:f>
      </x:c>
      <x:c r="S59" s="80" t="str">
        <x:v>启用</x:v>
      </x:c>
      <x:c r="T59" s="80" t="str">
        <x:v>启用</x:v>
      </x:c>
      <x:c r="U59" s="62" t="str"/>
      <x:c r="V59" s="62" t="str">
        <x:v>2026-08-17 10:10:24+08:00</x:v>
      </x:c>
    </x:row>
    <x:row r="60">
      <x:c r="A60" s="62" t="str">
        <x:v>PROD-JD-EMG4418767459988</x:v>
      </x:c>
      <x:c r="B60" s="83" t="str">
        <x:v>羊排块(羊寸排)</x:v>
      </x:c>
      <x:c r="C60" s="62" t="str">
        <x:v>羊肉</x:v>
      </x:c>
      <x:c r="D60" s="62" t="str">
        <x:v>SKU-JD-000004</x:v>
      </x:c>
      <x:c r="E60" s="62" t="str">
        <x:v>500g</x:v>
      </x:c>
      <x:c r="F60" s="62" t="str">
        <x:v>件</x:v>
      </x:c>
      <x:c r="G60" s="62" t="str">
        <x:v>京东云仓</x:v>
      </x:c>
      <x:c r="H60" s="62" t="str">
        <x:v>JD_WAREHOUSE</x:v>
      </x:c>
      <x:c r="I60" s="62" t="str">
        <x:v>EMG4418767459988</x:v>
      </x:c>
      <x:c r="J60" s="73" t="n">
        <x:v>86</x:v>
      </x:c>
      <x:c r="K60" s="73" t="n">
        <x:v>126</x:v>
      </x:c>
      <x:c r="L60" s="73" t="n">
        <x:f>IF(OR(J60="",K60=""),"",K60-J60)</x:f>
        <x:v>40</x:v>
      </x:c>
      <x:c r="M60" s="74" t="n">
        <x:f>IFERROR(L60/K60,"")</x:f>
        <x:v>0.31746031746031744</x:v>
      </x:c>
      <x:c r="N60" s="80" t="str">
        <x:f>IF(AND(J60&lt;&gt;"",K60&lt;&gt;""),"已完整",IF(AND(J60="",K60=""),"待补价","价格不完整"))</x:f>
        <x:v>已完整</x:v>
      </x:c>
      <x:c r="O60" s="73"/>
      <x:c r="P60" s="73"/>
      <x:c r="Q60" s="73"/>
      <x:c r="R60" s="73" t="str">
        <x:f>IF(OR(O60="",P60=""),"",P60-O60-IF(Q60="",0,Q60))</x:f>
      </x:c>
      <x:c r="S60" s="80" t="str">
        <x:v>启用</x:v>
      </x:c>
      <x:c r="T60" s="80" t="str">
        <x:v>启用</x:v>
      </x:c>
      <x:c r="U60" s="62" t="str"/>
      <x:c r="V60" s="62" t="str">
        <x:v>2026-08-17 10:10:24+08:00</x:v>
      </x:c>
    </x:row>
    <x:row r="61">
      <x:c r="A61" s="62" t="str">
        <x:v>PROD-JD-EMG4418819505546</x:v>
      </x:c>
      <x:c r="B61" s="83" t="str">
        <x:v>羊棒骨</x:v>
      </x:c>
      <x:c r="C61" s="62" t="str">
        <x:v>羊肉</x:v>
      </x:c>
      <x:c r="D61" s="62" t="str">
        <x:v>SKU-JD-000015</x:v>
      </x:c>
      <x:c r="E61" s="62" t="str">
        <x:v>500g</x:v>
      </x:c>
      <x:c r="F61" s="62" t="str">
        <x:v>件</x:v>
      </x:c>
      <x:c r="G61" s="62" t="str">
        <x:v>京东云仓</x:v>
      </x:c>
      <x:c r="H61" s="62" t="str">
        <x:v>JD_WAREHOUSE</x:v>
      </x:c>
      <x:c r="I61" s="62" t="str">
        <x:v>EMG4418819505546</x:v>
      </x:c>
      <x:c r="J61" s="73" t="n">
        <x:v>74</x:v>
      </x:c>
      <x:c r="K61" s="73" t="n">
        <x:v>79</x:v>
      </x:c>
      <x:c r="L61" s="73" t="n">
        <x:f>IF(OR(J61="",K61=""),"",K61-J61)</x:f>
        <x:v>5</x:v>
      </x:c>
      <x:c r="M61" s="74" t="n">
        <x:f>IFERROR(L61/K61,"")</x:f>
        <x:v>0.06329113924050633</x:v>
      </x:c>
      <x:c r="N61" s="80" t="str">
        <x:f>IF(AND(J61&lt;&gt;"",K61&lt;&gt;""),"已完整",IF(AND(J61="",K61=""),"待补价","价格不完整"))</x:f>
        <x:v>已完整</x:v>
      </x:c>
      <x:c r="O61" s="73"/>
      <x:c r="P61" s="73"/>
      <x:c r="Q61" s="73"/>
      <x:c r="R61" s="73" t="str">
        <x:f>IF(OR(O61="",P61=""),"",P61-O61-IF(Q61="",0,Q61))</x:f>
      </x:c>
      <x:c r="S61" s="80" t="str">
        <x:v>启用</x:v>
      </x:c>
      <x:c r="T61" s="80" t="str">
        <x:v>启用</x:v>
      </x:c>
      <x:c r="U61" s="62" t="str"/>
      <x:c r="V61" s="62" t="str">
        <x:v>2026-08-17 10:10:24+08:00</x:v>
      </x:c>
    </x:row>
    <x:row r="62">
      <x:c r="A62" s="62" t="str">
        <x:v>PROD-JD-EMG4418767460168</x:v>
      </x:c>
      <x:c r="B62" s="83" t="str">
        <x:v>羊肉块</x:v>
      </x:c>
      <x:c r="C62" s="62" t="str">
        <x:v>羊肉</x:v>
      </x:c>
      <x:c r="D62" s="62" t="str">
        <x:v>SKU-JD-000008</x:v>
      </x:c>
      <x:c r="E62" s="62" t="str">
        <x:v>500g</x:v>
      </x:c>
      <x:c r="F62" s="62" t="str">
        <x:v>件</x:v>
      </x:c>
      <x:c r="G62" s="62" t="str">
        <x:v>京东云仓</x:v>
      </x:c>
      <x:c r="H62" s="62" t="str">
        <x:v>JD_WAREHOUSE</x:v>
      </x:c>
      <x:c r="I62" s="62" t="str">
        <x:v>EMG4418767460168</x:v>
      </x:c>
      <x:c r="J62" s="73" t="n">
        <x:v>116</x:v>
      </x:c>
      <x:c r="K62" s="73" t="n">
        <x:v>158</x:v>
      </x:c>
      <x:c r="L62" s="73" t="n">
        <x:f>IF(OR(J62="",K62=""),"",K62-J62)</x:f>
        <x:v>42</x:v>
      </x:c>
      <x:c r="M62" s="74" t="n">
        <x:f>IFERROR(L62/K62,"")</x:f>
        <x:v>0.26582278481012656</x:v>
      </x:c>
      <x:c r="N62" s="80" t="str">
        <x:f>IF(AND(J62&lt;&gt;"",K62&lt;&gt;""),"已完整",IF(AND(J62="",K62=""),"待补价","价格不完整"))</x:f>
        <x:v>已完整</x:v>
      </x:c>
      <x:c r="O62" s="73"/>
      <x:c r="P62" s="73"/>
      <x:c r="Q62" s="73"/>
      <x:c r="R62" s="73" t="str">
        <x:f>IF(OR(O62="",P62=""),"",P62-O62-IF(Q62="",0,Q62))</x:f>
      </x:c>
      <x:c r="S62" s="80" t="str">
        <x:v>启用</x:v>
      </x:c>
      <x:c r="T62" s="80" t="str">
        <x:v>启用</x:v>
      </x:c>
      <x:c r="U62" s="62" t="str"/>
      <x:c r="V62" s="62" t="str">
        <x:v>2026-08-17 10:10:24+08:00</x:v>
      </x:c>
    </x:row>
    <x:row r="63">
      <x:c r="A63" s="62" t="str">
        <x:v>PROD-JD-EMG4418904458684</x:v>
      </x:c>
      <x:c r="B63" s="83" t="str">
        <x:v>羊肉馅</x:v>
      </x:c>
      <x:c r="C63" s="62" t="str">
        <x:v>羊肉</x:v>
      </x:c>
      <x:c r="D63" s="62" t="str">
        <x:v>SKU-JD-000013</x:v>
      </x:c>
      <x:c r="E63" s="62" t="str">
        <x:v>500g</x:v>
      </x:c>
      <x:c r="F63" s="62" t="str">
        <x:v>件</x:v>
      </x:c>
      <x:c r="G63" s="62" t="str">
        <x:v>京东云仓</x:v>
      </x:c>
      <x:c r="H63" s="62" t="str">
        <x:v>JD_WAREHOUSE</x:v>
      </x:c>
      <x:c r="I63" s="62" t="str">
        <x:v>EMG4418904458684</x:v>
      </x:c>
      <x:c r="J63" s="73" t="n">
        <x:v>78</x:v>
      </x:c>
      <x:c r="K63" s="73" t="n">
        <x:v>99</x:v>
      </x:c>
      <x:c r="L63" s="73" t="n">
        <x:f>IF(OR(J63="",K63=""),"",K63-J63)</x:f>
        <x:v>21</x:v>
      </x:c>
      <x:c r="M63" s="74" t="n">
        <x:f>IFERROR(L63/K63,"")</x:f>
        <x:v>0.21212121212121213</x:v>
      </x:c>
      <x:c r="N63" s="80" t="str">
        <x:f>IF(AND(J63&lt;&gt;"",K63&lt;&gt;""),"已完整",IF(AND(J63="",K63=""),"待补价","价格不完整"))</x:f>
        <x:v>已完整</x:v>
      </x:c>
      <x:c r="O63" s="73"/>
      <x:c r="P63" s="73"/>
      <x:c r="Q63" s="73"/>
      <x:c r="R63" s="73" t="str">
        <x:f>IF(OR(O63="",P63=""),"",P63-O63-IF(Q63="",0,Q63))</x:f>
      </x:c>
      <x:c r="S63" s="80" t="str">
        <x:v>启用</x:v>
      </x:c>
      <x:c r="T63" s="80" t="str">
        <x:v>启用</x:v>
      </x:c>
      <x:c r="U63" s="62" t="str"/>
      <x:c r="V63" s="62" t="str">
        <x:v>2026-08-17 10:10:24+08:00</x:v>
      </x:c>
    </x:row>
    <x:row r="64">
      <x:c r="A64" s="62" t="str">
        <x:v>PROD-JD-EMG4418737161147</x:v>
      </x:c>
      <x:c r="B64" s="83" t="str">
        <x:v>羊腿小切</x:v>
      </x:c>
      <x:c r="C64" s="62" t="str">
        <x:v>羊肉</x:v>
      </x:c>
      <x:c r="D64" s="62" t="str">
        <x:v>SKU-JD-000007</x:v>
      </x:c>
      <x:c r="E64" s="62" t="str">
        <x:v>500g</x:v>
      </x:c>
      <x:c r="F64" s="62" t="str">
        <x:v>件</x:v>
      </x:c>
      <x:c r="G64" s="62" t="str">
        <x:v>京东云仓</x:v>
      </x:c>
      <x:c r="H64" s="62" t="str">
        <x:v>JD_WAREHOUSE</x:v>
      </x:c>
      <x:c r="I64" s="62" t="str">
        <x:v>EMG4418737161147</x:v>
      </x:c>
      <x:c r="J64" s="73" t="n">
        <x:v>106</x:v>
      </x:c>
      <x:c r="K64" s="73" t="n">
        <x:v>139.5</x:v>
      </x:c>
      <x:c r="L64" s="73" t="n">
        <x:f>IF(OR(J64="",K64=""),"",K64-J64)</x:f>
        <x:v>33.5</x:v>
      </x:c>
      <x:c r="M64" s="74" t="n">
        <x:f>IFERROR(L64/K64,"")</x:f>
        <x:v>0.24014336917562723</x:v>
      </x:c>
      <x:c r="N64" s="80" t="str">
        <x:f>IF(AND(J64&lt;&gt;"",K64&lt;&gt;""),"已完整",IF(AND(J64="",K64=""),"待补价","价格不完整"))</x:f>
        <x:v>已完整</x:v>
      </x:c>
      <x:c r="O64" s="73"/>
      <x:c r="P64" s="73"/>
      <x:c r="Q64" s="73"/>
      <x:c r="R64" s="73" t="str">
        <x:f>IF(OR(O64="",P64=""),"",P64-O64-IF(Q64="",0,Q64))</x:f>
      </x:c>
      <x:c r="S64" s="80" t="str">
        <x:v>启用</x:v>
      </x:c>
      <x:c r="T64" s="80" t="str">
        <x:v>启用</x:v>
      </x:c>
      <x:c r="U64" s="62" t="str"/>
      <x:c r="V64" s="62" t="str">
        <x:v>2026-08-17 10:10:24+08:00</x:v>
      </x:c>
    </x:row>
    <x:row r="65">
      <x:c r="A65" s="62" t="str">
        <x:v>PROD-JD-EMG4418691852262</x:v>
      </x:c>
      <x:c r="B65" s="83" t="str">
        <x:v>羊腿肉</x:v>
      </x:c>
      <x:c r="C65" s="62" t="str">
        <x:v>羊肉</x:v>
      </x:c>
      <x:c r="D65" s="62" t="str">
        <x:v>SKU-JD-000009</x:v>
      </x:c>
      <x:c r="E65" s="62" t="str">
        <x:v>500g</x:v>
      </x:c>
      <x:c r="F65" s="62" t="str">
        <x:v>件</x:v>
      </x:c>
      <x:c r="G65" s="62" t="str">
        <x:v>京东云仓</x:v>
      </x:c>
      <x:c r="H65" s="62" t="str">
        <x:v>JD_WAREHOUSE</x:v>
      </x:c>
      <x:c r="I65" s="62" t="str">
        <x:v>EMG4418691852262</x:v>
      </x:c>
      <x:c r="J65" s="73" t="n">
        <x:v>118</x:v>
      </x:c>
      <x:c r="K65" s="73" t="n">
        <x:v>168</x:v>
      </x:c>
      <x:c r="L65" s="73" t="n">
        <x:f>IF(OR(J65="",K65=""),"",K65-J65)</x:f>
        <x:v>50</x:v>
      </x:c>
      <x:c r="M65" s="74" t="n">
        <x:f>IFERROR(L65/K65,"")</x:f>
        <x:v>0.2976190476190476</x:v>
      </x:c>
      <x:c r="N65" s="80" t="str">
        <x:f>IF(AND(J65&lt;&gt;"",K65&lt;&gt;""),"已完整",IF(AND(J65="",K65=""),"待补价","价格不完整"))</x:f>
        <x:v>已完整</x:v>
      </x:c>
      <x:c r="O65" s="73"/>
      <x:c r="P65" s="73"/>
      <x:c r="Q65" s="73"/>
      <x:c r="R65" s="73" t="str">
        <x:f>IF(OR(O65="",P65=""),"",P65-O65-IF(Q65="",0,Q65))</x:f>
      </x:c>
      <x:c r="S65" s="80" t="str">
        <x:v>启用</x:v>
      </x:c>
      <x:c r="T65" s="80" t="str">
        <x:v>启用</x:v>
      </x:c>
      <x:c r="U65" s="62" t="str"/>
      <x:c r="V65" s="62" t="str">
        <x:v>2026-08-17 10:10:24+08:00</x:v>
      </x:c>
    </x:row>
    <x:row r="66">
      <x:c r="A66" s="62" t="str">
        <x:v>PROD-JD-EMG4418727170819</x:v>
      </x:c>
      <x:c r="B66" s="83" t="str">
        <x:v>羊蝎子</x:v>
      </x:c>
      <x:c r="C66" s="62" t="str">
        <x:v>羊肉</x:v>
      </x:c>
      <x:c r="D66" s="62" t="str">
        <x:v>SKU-JD-000005</x:v>
      </x:c>
      <x:c r="E66" s="62" t="str">
        <x:v>500g</x:v>
      </x:c>
      <x:c r="F66" s="62" t="str">
        <x:v>件</x:v>
      </x:c>
      <x:c r="G66" s="62" t="str">
        <x:v>京东云仓</x:v>
      </x:c>
      <x:c r="H66" s="62" t="str">
        <x:v>JD_WAREHOUSE</x:v>
      </x:c>
      <x:c r="I66" s="62" t="str">
        <x:v>EMG4418727170819</x:v>
      </x:c>
      <x:c r="J66" s="73" t="n">
        <x:v>68</x:v>
      </x:c>
      <x:c r="K66" s="73" t="n">
        <x:v>78</x:v>
      </x:c>
      <x:c r="L66" s="73" t="n">
        <x:f>IF(OR(J66="",K66=""),"",K66-J66)</x:f>
        <x:v>10</x:v>
      </x:c>
      <x:c r="M66" s="74" t="n">
        <x:f>IFERROR(L66/K66,"")</x:f>
        <x:v>0.1282051282051282</x:v>
      </x:c>
      <x:c r="N66" s="80" t="str">
        <x:f>IF(AND(J66&lt;&gt;"",K66&lt;&gt;""),"已完整",IF(AND(J66="",K66=""),"待补价","价格不完整"))</x:f>
        <x:v>已完整</x:v>
      </x:c>
      <x:c r="O66" s="73"/>
      <x:c r="P66" s="73"/>
      <x:c r="Q66" s="73"/>
      <x:c r="R66" s="73" t="str">
        <x:f>IF(OR(O66="",P66=""),"",P66-O66-IF(Q66="",0,Q66))</x:f>
      </x:c>
      <x:c r="S66" s="80" t="str">
        <x:v>启用</x:v>
      </x:c>
      <x:c r="T66" s="80" t="str">
        <x:v>启用</x:v>
      </x:c>
      <x:c r="U66" s="62" t="str"/>
      <x:c r="V66" s="62" t="str">
        <x:v>2026-08-17 10:10:24+08:00</x:v>
      </x:c>
    </x:row>
    <x:row r="67">
      <x:c r="A67" s="62" t="str">
        <x:v>PROD-JD-EMG4418955709745</x:v>
      </x:c>
      <x:c r="B67" s="83" t="str">
        <x:v>海报</x:v>
      </x:c>
      <x:c r="C67" s="62" t="str">
        <x:v>设备物料</x:v>
      </x:c>
      <x:c r="D67" s="62" t="str">
        <x:v>SKU-JD-000057</x:v>
      </x:c>
      <x:c r="E67" s="62" t="str">
        <x:v>待维护</x:v>
      </x:c>
      <x:c r="F67" s="62" t="str">
        <x:v>件</x:v>
      </x:c>
      <x:c r="G67" s="62" t="str">
        <x:v>京东云仓</x:v>
      </x:c>
      <x:c r="H67" s="62" t="str">
        <x:v>JD_WAREHOUSE</x:v>
      </x:c>
      <x:c r="I67" s="62" t="str">
        <x:v>EMG4418955709745</x:v>
      </x:c>
      <x:c r="J67" s="73"/>
      <x:c r="K67" s="73"/>
      <x:c r="L67" s="73" t="str">
        <x:f>IF(OR(J67="",K67=""),"",K67-J67)</x:f>
      </x:c>
      <x:c r="M67" s="74" t="str">
        <x:f>IFERROR(L67/K67,"")</x:f>
      </x:c>
      <x:c r="N67" s="80" t="str">
        <x:f>IF(AND(J67&lt;&gt;"",K67&lt;&gt;""),"已完整",IF(AND(J67="",K67=""),"待补价","价格不完整"))</x:f>
        <x:v>待补价</x:v>
      </x:c>
      <x:c r="O67" s="73"/>
      <x:c r="P67" s="73"/>
      <x:c r="Q67" s="73"/>
      <x:c r="R67" s="73" t="str">
        <x:f>IF(OR(O67="",P67=""),"",P67-O67-IF(Q67="",0,Q67))</x:f>
      </x:c>
      <x:c r="S67" s="80" t="str">
        <x:v>启用</x:v>
      </x:c>
      <x:c r="T67" s="80" t="str">
        <x:v>启用</x:v>
      </x:c>
      <x:c r="U67" s="62" t="str"/>
      <x:c r="V67" s="62" t="str">
        <x:v>2026-08-17 10:10:24+08:00</x:v>
      </x:c>
    </x:row>
    <x:row r="68">
      <x:c r="A68" s="63" t="str">
        <x:v>PROD-JD-EMG4419148366261</x:v>
      </x:c>
      <x:c r="B68" s="84" t="str">
        <x:v>烤炉</x:v>
      </x:c>
      <x:c r="C68" s="63" t="str">
        <x:v>设备物料</x:v>
      </x:c>
      <x:c r="D68" s="63" t="str">
        <x:v>SKU-JD-000059</x:v>
      </x:c>
      <x:c r="E68" s="63" t="str">
        <x:v>待维护</x:v>
      </x:c>
      <x:c r="F68" s="63" t="str">
        <x:v>件</x:v>
      </x:c>
      <x:c r="G68" s="63" t="str">
        <x:v>京东云仓</x:v>
      </x:c>
      <x:c r="H68" s="63" t="str">
        <x:v>JD_WAREHOUSE</x:v>
      </x:c>
      <x:c r="I68" s="63" t="str">
        <x:v>EMG4419148366261</x:v>
      </x:c>
      <x:c r="J68" s="76"/>
      <x:c r="K68" s="76"/>
      <x:c r="L68" s="76" t="str">
        <x:f>IF(OR(J68="",K68=""),"",K68-J68)</x:f>
      </x:c>
      <x:c r="M68" s="77" t="str">
        <x:f>IFERROR(L68/K68,"")</x:f>
      </x:c>
      <x:c r="N68" s="81" t="str">
        <x:f>IF(AND(J68&lt;&gt;"",K68&lt;&gt;""),"已完整",IF(AND(J68="",K68=""),"待补价","价格不完整"))</x:f>
        <x:v>待补价</x:v>
      </x:c>
      <x:c r="O68" s="76"/>
      <x:c r="P68" s="76"/>
      <x:c r="Q68" s="76"/>
      <x:c r="R68" s="76" t="str">
        <x:f>IF(OR(O68="",P68=""),"",P68-O68-IF(Q68="",0,Q68))</x:f>
      </x:c>
      <x:c r="S68" s="81" t="str">
        <x:v>启用</x:v>
      </x:c>
      <x:c r="T68" s="81" t="str">
        <x:v>启用</x:v>
      </x:c>
      <x:c r="U68" s="63" t="str"/>
      <x:c r="V68" s="63" t="str">
        <x:v>2026-08-17 10:10:24+08:00</x:v>
      </x:c>
    </x:row>
  </x:sheetData>
  <x:mergeCells>
    <x:mergeCell ref="A1:V1"/>
    <x:mergeCell ref="A2:V2"/>
  </x:mergeCells>
  <x:conditionalFormatting sqref="N5:N68">
    <x:cfRule type="containsText" dxfId="0" priority="1" operator="containsText" text="待补价"/>
    <x:cfRule type="containsText" dxfId="1" priority="2" operator="containsText" text="已完整"/>
  </x:conditionalFormatting>
  <x:pageMargins left="0.7" right="0.7" top="0.75" bottom="0.75" header="0.3" footer="0.3"/>
  <x:tableParts count="1">
    <x:tablePart xmlns:r="http://schemas.openxmlformats.org/officeDocument/2006/relationships" r:id="R265ceb5be12448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2" hidden="0" customWidth="1"/>
    <x:col min="3" max="3" width="11" hidden="0" customWidth="1"/>
    <x:col min="4" max="4" width="9" hidden="0" customWidth="1"/>
    <x:col min="5" max="5" width="15" hidden="0" customWidth="1"/>
    <x:col min="6" max="6" width="15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2" hidden="0" customWidth="1"/>
    <x:col min="12" max="12" width="12" hidden="0" customWidth="1"/>
    <x:col min="13" max="13" width="11" hidden="0" customWidth="1"/>
    <x:col min="14" max="14" width="12" hidden="0" customWidth="1"/>
    <x:col min="15" max="15" width="16" hidden="0" customWidth="1"/>
    <x:col min="16" max="16" width="10" hidden="0" customWidth="1"/>
    <x:col min="17" max="17" width="21" hidden="0" customWidth="1"/>
  </x:cols>
  <x:sheetData>
    <x:row r="1" ht="34" customHeight="1">
      <x:c r="A1" s="4" t="str">
        <x:v>商品价格汇总</x:v>
      </x:c>
      <x:c r="B1" s="4" t="str">
        <x:v>商品价格汇总</x:v>
      </x:c>
      <x:c r="C1" s="4" t="str">
        <x:v>商品价格汇总</x:v>
      </x:c>
      <x:c r="D1" s="4" t="str">
        <x:v>商品价格汇总</x:v>
      </x:c>
      <x:c r="E1" s="4" t="str">
        <x:v>商品价格汇总</x:v>
      </x:c>
      <x:c r="F1" s="4" t="str">
        <x:v>商品价格汇总</x:v>
      </x:c>
      <x:c r="G1" s="4" t="str">
        <x:v>商品价格汇总</x:v>
      </x:c>
      <x:c r="H1" s="4" t="str">
        <x:v>商品价格汇总</x:v>
      </x:c>
      <x:c r="I1" s="4" t="str">
        <x:v>商品价格汇总</x:v>
      </x:c>
      <x:c r="J1" s="4" t="str">
        <x:v>商品价格汇总</x:v>
      </x:c>
      <x:c r="K1" s="4" t="str">
        <x:v>商品价格汇总</x:v>
      </x:c>
      <x:c r="L1" s="4" t="str">
        <x:v>商品价格汇总</x:v>
      </x:c>
      <x:c r="M1" s="4" t="str">
        <x:v>商品价格汇总</x:v>
      </x:c>
      <x:c r="N1" s="4" t="str">
        <x:v>商品价格汇总</x:v>
      </x:c>
      <x:c r="O1" s="4" t="str">
        <x:v>商品价格汇总</x:v>
      </x:c>
      <x:c r="P1" s="4" t="str">
        <x:v>商品价格汇总</x:v>
      </x:c>
      <x:c r="Q1" s="4" t="str">
        <x:v>商品价格汇总</x:v>
      </x:c>
    </x:row>
    <x:row r="2" ht="30" customHeight="1">
      <x:c r="A2" s="9" t="str">
        <x:v>商品级价格与其SKU价格覆盖情况。商品级价格不自动回填至SKU。</x:v>
      </x:c>
      <x:c r="B2" s="9" t="str">
        <x:v>商品级价格与其SKU价格覆盖情况。商品级价格不自动回填至SKU。</x:v>
      </x:c>
      <x:c r="C2" s="9" t="str">
        <x:v>商品级价格与其SKU价格覆盖情况。商品级价格不自动回填至SKU。</x:v>
      </x:c>
      <x:c r="D2" s="9" t="str">
        <x:v>商品级价格与其SKU价格覆盖情况。商品级价格不自动回填至SKU。</x:v>
      </x:c>
      <x:c r="E2" s="9" t="str">
        <x:v>商品级价格与其SKU价格覆盖情况。商品级价格不自动回填至SKU。</x:v>
      </x:c>
      <x:c r="F2" s="9" t="str">
        <x:v>商品级价格与其SKU价格覆盖情况。商品级价格不自动回填至SKU。</x:v>
      </x:c>
      <x:c r="G2" s="9" t="str">
        <x:v>商品级价格与其SKU价格覆盖情况。商品级价格不自动回填至SKU。</x:v>
      </x:c>
      <x:c r="H2" s="9" t="str">
        <x:v>商品级价格与其SKU价格覆盖情况。商品级价格不自动回填至SKU。</x:v>
      </x:c>
      <x:c r="I2" s="9" t="str">
        <x:v>商品级价格与其SKU价格覆盖情况。商品级价格不自动回填至SKU。</x:v>
      </x:c>
      <x:c r="J2" s="9" t="str">
        <x:v>商品级价格与其SKU价格覆盖情况。商品级价格不自动回填至SKU。</x:v>
      </x:c>
      <x:c r="K2" s="9" t="str">
        <x:v>商品级价格与其SKU价格覆盖情况。商品级价格不自动回填至SKU。</x:v>
      </x:c>
      <x:c r="L2" s="9" t="str">
        <x:v>商品级价格与其SKU价格覆盖情况。商品级价格不自动回填至SKU。</x:v>
      </x:c>
      <x:c r="M2" s="9" t="str">
        <x:v>商品级价格与其SKU价格覆盖情况。商品级价格不自动回填至SKU。</x:v>
      </x:c>
      <x:c r="N2" s="9" t="str">
        <x:v>商品级价格与其SKU价格覆盖情况。商品级价格不自动回填至SKU。</x:v>
      </x:c>
      <x:c r="O2" s="9" t="str">
        <x:v>商品级价格与其SKU价格覆盖情况。商品级价格不自动回填至SKU。</x:v>
      </x:c>
      <x:c r="P2" s="9" t="str">
        <x:v>商品级价格与其SKU价格覆盖情况。商品级价格不自动回填至SKU。</x:v>
      </x:c>
      <x:c r="Q2" s="9" t="str">
        <x:v>商品级价格与其SKU价格覆盖情况。商品级价格不自动回填至SKU。</x:v>
      </x:c>
    </x:row>
    <x:row r="4" ht="30" customHeight="1">
      <x:c r="A4" s="56" t="str">
        <x:v>商品编码</x:v>
      </x:c>
      <x:c r="B4" s="56" t="str">
        <x:v>商品名称</x:v>
      </x:c>
      <x:c r="C4" s="56" t="str">
        <x:v>分类</x:v>
      </x:c>
      <x:c r="D4" s="56" t="str">
        <x:v>SKU数</x:v>
      </x:c>
      <x:c r="E4" s="56" t="str">
        <x:v>SKU已定进货价数</x:v>
      </x:c>
      <x:c r="F4" s="56" t="str">
        <x:v>SKU已定零售价数</x:v>
      </x:c>
      <x:c r="G4" s="56" t="str">
        <x:v>SKU最低进货价</x:v>
      </x:c>
      <x:c r="H4" s="56" t="str">
        <x:v>SKU最高进货价</x:v>
      </x:c>
      <x:c r="I4" s="56" t="str">
        <x:v>SKU最低零售价</x:v>
      </x:c>
      <x:c r="J4" s="56" t="str">
        <x:v>SKU最高零售价</x:v>
      </x:c>
      <x:c r="K4" s="56" t="str">
        <x:v>商品进货价</x:v>
      </x:c>
      <x:c r="L4" s="56" t="str">
        <x:v>商品零售价</x:v>
      </x:c>
      <x:c r="M4" s="56" t="str">
        <x:v>其他成本</x:v>
      </x:c>
      <x:c r="N4" s="56" t="str">
        <x:v>商品毛利额</x:v>
      </x:c>
      <x:c r="O4" s="56" t="str">
        <x:v>商品级价格状态</x:v>
      </x:c>
      <x:c r="P4" s="56" t="str">
        <x:v>商品状态</x:v>
      </x:c>
      <x:c r="Q4" s="56" t="str">
        <x:v>商品更新时间</x:v>
      </x:c>
    </x:row>
    <x:row r="5">
      <x:c r="A5" s="61" t="str">
        <x:v>PROD-JD-EMG4418727167063</x:v>
      </x:c>
      <x:c r="B5" s="82" t="str">
        <x:v>鸵鸟凤尾肉排80g</x:v>
      </x:c>
      <x:c r="C5" s="61" t="str">
        <x:v>其他肉类</x:v>
      </x:c>
      <x:c r="D5" s="85" t="n">
        <x:v>2</x:v>
      </x:c>
      <x:c r="E5" s="85" t="n">
        <x:v>0</x:v>
      </x:c>
      <x:c r="F5" s="85" t="n">
        <x:v>0</x:v>
      </x:c>
      <x:c r="G5" s="64"/>
      <x:c r="H5" s="64"/>
      <x:c r="I5" s="64"/>
      <x:c r="J5" s="64"/>
      <x:c r="K5" s="64"/>
      <x:c r="L5" s="64"/>
      <x:c r="M5" s="64"/>
      <x:c r="N5" s="64" t="str">
        <x:f>IF(OR(K5="",L5=""),"",L5-K5-IF(M5="",0,M5))</x:f>
      </x:c>
      <x:c r="O5" s="79" t="str">
        <x:f>IF(AND(K5&lt;&gt;"",L5&lt;&gt;""),"商品级已完整",IF(AND(K5="",L5=""),"商品级未维护","商品级不完整"))</x:f>
        <x:v>商品级未维护</x:v>
      </x:c>
      <x:c r="P5" s="79" t="str">
        <x:v>启用</x:v>
      </x:c>
      <x:c r="Q5" s="61" t="str">
        <x:v>2026-08-17 10:10:24+08:00</x:v>
      </x:c>
    </x:row>
    <x:row r="6">
      <x:c r="A6" s="62" t="str">
        <x:v>PROD-JD-EMG4418727168035</x:v>
      </x:c>
      <x:c r="B6" s="83" t="str">
        <x:v>小龙坎火锅拼盘(4拼)</x:v>
      </x:c>
      <x:c r="C6" s="62" t="str">
        <x:v>混合组合</x:v>
      </x:c>
      <x:c r="D6" s="86" t="n">
        <x:v>1</x:v>
      </x:c>
      <x:c r="E6" s="86" t="n">
        <x:v>1</x:v>
      </x:c>
      <x:c r="F6" s="86" t="n">
        <x:v>1</x:v>
      </x:c>
      <x:c r="G6" s="65" t="n">
        <x:v>58</x:v>
      </x:c>
      <x:c r="H6" s="65" t="n">
        <x:v>58</x:v>
      </x:c>
      <x:c r="I6" s="65" t="n">
        <x:v>108</x:v>
      </x:c>
      <x:c r="J6" s="65" t="n">
        <x:v>108</x:v>
      </x:c>
      <x:c r="K6" s="65"/>
      <x:c r="L6" s="65"/>
      <x:c r="M6" s="65"/>
      <x:c r="N6" s="65" t="str">
        <x:f>IF(OR(K6="",L6=""),"",L6-K6-IF(M6="",0,M6))</x:f>
      </x:c>
      <x:c r="O6" s="80" t="str">
        <x:f>IF(AND(K6&lt;&gt;"",L6&lt;&gt;""),"商品级已完整",IF(AND(K6="",L6=""),"商品级未维护","商品级不完整"))</x:f>
        <x:v>商品级未维护</x:v>
      </x:c>
      <x:c r="P6" s="80" t="str">
        <x:v>启用</x:v>
      </x:c>
      <x:c r="Q6" s="62" t="str">
        <x:v>2026-08-17 10:10:24+08:00</x:v>
      </x:c>
    </x:row>
    <x:row r="7">
      <x:c r="A7" s="62" t="str">
        <x:v>PROD-JD-EMG4418691848450</x:v>
      </x:c>
      <x:c r="B7" s="83" t="str">
        <x:v>小龙坎火锅拼盘(6拼)</x:v>
      </x:c>
      <x:c r="C7" s="62" t="str">
        <x:v>混合组合</x:v>
      </x:c>
      <x:c r="D7" s="86" t="n">
        <x:v>1</x:v>
      </x:c>
      <x:c r="E7" s="86" t="n">
        <x:v>1</x:v>
      </x:c>
      <x:c r="F7" s="86" t="n">
        <x:v>1</x:v>
      </x:c>
      <x:c r="G7" s="65" t="n">
        <x:v>99</x:v>
      </x:c>
      <x:c r="H7" s="65" t="n">
        <x:v>99</x:v>
      </x:c>
      <x:c r="I7" s="65" t="n">
        <x:v>152.25</x:v>
      </x:c>
      <x:c r="J7" s="65" t="n">
        <x:v>152.25</x:v>
      </x:c>
      <x:c r="K7" s="65"/>
      <x:c r="L7" s="65"/>
      <x:c r="M7" s="65"/>
      <x:c r="N7" s="65" t="str">
        <x:f>IF(OR(K7="",L7=""),"",L7-K7-IF(M7="",0,M7))</x:f>
      </x:c>
      <x:c r="O7" s="80" t="str">
        <x:f>IF(AND(K7&lt;&gt;"",L7&lt;&gt;""),"商品级已完整",IF(AND(K7="",L7=""),"商品级未维护","商品级不完整"))</x:f>
        <x:v>商品级未维护</x:v>
      </x:c>
      <x:c r="P7" s="80" t="str">
        <x:v>启用</x:v>
      </x:c>
      <x:c r="Q7" s="62" t="str">
        <x:v>2026-08-17 10:10:24+08:00</x:v>
      </x:c>
    </x:row>
    <x:row r="8">
      <x:c r="A8" s="62" t="str">
        <x:v>PROD-JD-EMG4419279687164</x:v>
      </x:c>
      <x:c r="B8" s="83" t="str">
        <x:v>牛羊肉烧烤组合</x:v>
      </x:c>
      <x:c r="C8" s="62" t="str">
        <x:v>混合组合</x:v>
      </x:c>
      <x:c r="D8" s="86" t="n">
        <x:v>1</x:v>
      </x:c>
      <x:c r="E8" s="86" t="n">
        <x:v>0</x:v>
      </x:c>
      <x:c r="F8" s="86" t="n">
        <x:v>0</x:v>
      </x:c>
      <x:c r="G8" s="65"/>
      <x:c r="H8" s="65"/>
      <x:c r="I8" s="65"/>
      <x:c r="J8" s="65"/>
      <x:c r="K8" s="65"/>
      <x:c r="L8" s="65"/>
      <x:c r="M8" s="65"/>
      <x:c r="N8" s="65" t="str">
        <x:f>IF(OR(K8="",L8=""),"",L8-K8-IF(M8="",0,M8))</x:f>
      </x:c>
      <x:c r="O8" s="80" t="str">
        <x:f>IF(AND(K8&lt;&gt;"",L8&lt;&gt;""),"商品级已完整",IF(AND(K8="",L8=""),"商品级未维护","商品级不完整"))</x:f>
        <x:v>商品级未维护</x:v>
      </x:c>
      <x:c r="P8" s="80" t="str">
        <x:v>启用</x:v>
      </x:c>
      <x:c r="Q8" s="62" t="str">
        <x:v>2026-08-17 10:10:24+08:00</x:v>
      </x:c>
    </x:row>
    <x:row r="9">
      <x:c r="A9" s="62" t="str">
        <x:v>PROD-JD-EMG4419026250992</x:v>
      </x:c>
      <x:c r="B9" s="83" t="str">
        <x:v>200眼肉牛排</x:v>
      </x:c>
      <x:c r="C9" s="62" t="str">
        <x:v>牛肉</x:v>
      </x:c>
      <x:c r="D9" s="86" t="n">
        <x:v>1</x:v>
      </x:c>
      <x:c r="E9" s="86" t="n">
        <x:v>0</x:v>
      </x:c>
      <x:c r="F9" s="86" t="n">
        <x:v>0</x:v>
      </x:c>
      <x:c r="G9" s="65"/>
      <x:c r="H9" s="65"/>
      <x:c r="I9" s="65"/>
      <x:c r="J9" s="65"/>
      <x:c r="K9" s="65"/>
      <x:c r="L9" s="65"/>
      <x:c r="M9" s="65"/>
      <x:c r="N9" s="65" t="str">
        <x:f>IF(OR(K9="",L9=""),"",L9-K9-IF(M9="",0,M9))</x:f>
      </x:c>
      <x:c r="O9" s="80" t="str">
        <x:f>IF(AND(K9&lt;&gt;"",L9&lt;&gt;""),"商品级已完整",IF(AND(K9="",L9=""),"商品级未维护","商品级不完整"))</x:f>
        <x:v>商品级未维护</x:v>
      </x:c>
      <x:c r="P9" s="80" t="str">
        <x:v>启用</x:v>
      </x:c>
      <x:c r="Q9" s="62" t="str">
        <x:v>2026-08-17 10:10:24+08:00</x:v>
      </x:c>
    </x:row>
    <x:row r="10">
      <x:c r="A10" s="62" t="str">
        <x:v>PROD-JD-EMG4418946764789</x:v>
      </x:c>
      <x:c r="B10" s="83" t="str">
        <x:v>200西冷</x:v>
      </x:c>
      <x:c r="C10" s="62" t="str">
        <x:v>牛肉</x:v>
      </x:c>
      <x:c r="D10" s="86" t="n">
        <x:v>1</x:v>
      </x:c>
      <x:c r="E10" s="86" t="n">
        <x:v>0</x:v>
      </x:c>
      <x:c r="F10" s="86" t="n">
        <x:v>0</x:v>
      </x:c>
      <x:c r="G10" s="65"/>
      <x:c r="H10" s="65"/>
      <x:c r="I10" s="65"/>
      <x:c r="J10" s="65"/>
      <x:c r="K10" s="65"/>
      <x:c r="L10" s="65"/>
      <x:c r="M10" s="65"/>
      <x:c r="N10" s="65" t="str">
        <x:f>IF(OR(K10="",L10=""),"",L10-K10-IF(M10="",0,M10))</x:f>
      </x:c>
      <x:c r="O10" s="80" t="str">
        <x:f>IF(AND(K10&lt;&gt;"",L10&lt;&gt;""),"商品级已完整",IF(AND(K10="",L10=""),"商品级未维护","商品级不完整"))</x:f>
        <x:v>商品级未维护</x:v>
      </x:c>
      <x:c r="P10" s="80" t="str">
        <x:v>启用</x:v>
      </x:c>
      <x:c r="Q10" s="62" t="str">
        <x:v>2026-08-17 10:10:24+08:00</x:v>
      </x:c>
    </x:row>
    <x:row r="11">
      <x:c r="A11" s="62" t="str">
        <x:v>PROD-JD-EMG4419026221532</x:v>
      </x:c>
      <x:c r="B11" s="83" t="str">
        <x:v>A5</x:v>
      </x:c>
      <x:c r="C11" s="62" t="str">
        <x:v>牛肉</x:v>
      </x:c>
      <x:c r="D11" s="86" t="n">
        <x:v>1</x:v>
      </x:c>
      <x:c r="E11" s="86" t="n">
        <x:v>0</x:v>
      </x:c>
      <x:c r="F11" s="86" t="n">
        <x:v>0</x:v>
      </x:c>
      <x:c r="G11" s="65"/>
      <x:c r="H11" s="65"/>
      <x:c r="I11" s="65"/>
      <x:c r="J11" s="65"/>
      <x:c r="K11" s="65"/>
      <x:c r="L11" s="65"/>
      <x:c r="M11" s="65"/>
      <x:c r="N11" s="65" t="str">
        <x:f>IF(OR(K11="",L11=""),"",L11-K11-IF(M11="",0,M11))</x:f>
      </x:c>
      <x:c r="O11" s="80" t="str">
        <x:f>IF(AND(K11&lt;&gt;"",L11&lt;&gt;""),"商品级已完整",IF(AND(K11="",L11=""),"商品级未维护","商品级不完整"))</x:f>
        <x:v>商品级未维护</x:v>
      </x:c>
      <x:c r="P11" s="80" t="str">
        <x:v>启用</x:v>
      </x:c>
      <x:c r="Q11" s="62" t="str">
        <x:v>2026-08-17 10:10:24+08:00</x:v>
      </x:c>
    </x:row>
    <x:row r="12">
      <x:c r="A12" s="62" t="str">
        <x:v>PROD-JD-EMG4418918549603</x:v>
      </x:c>
      <x:c r="B12" s="83" t="str">
        <x:v>M5霜降肥牛卷</x:v>
      </x:c>
      <x:c r="C12" s="62" t="str">
        <x:v>牛肉</x:v>
      </x:c>
      <x:c r="D12" s="86" t="n">
        <x:v>1</x:v>
      </x:c>
      <x:c r="E12" s="86" t="n">
        <x:v>0</x:v>
      </x:c>
      <x:c r="F12" s="86" t="n">
        <x:v>0</x:v>
      </x:c>
      <x:c r="G12" s="65"/>
      <x:c r="H12" s="65"/>
      <x:c r="I12" s="65"/>
      <x:c r="J12" s="65"/>
      <x:c r="K12" s="65"/>
      <x:c r="L12" s="65"/>
      <x:c r="M12" s="65"/>
      <x:c r="N12" s="65" t="str">
        <x:f>IF(OR(K12="",L12=""),"",L12-K12-IF(M12="",0,M12))</x:f>
      </x:c>
      <x:c r="O12" s="80" t="str">
        <x:f>IF(AND(K12&lt;&gt;"",L12&lt;&gt;""),"商品级已完整",IF(AND(K12="",L12=""),"商品级未维护","商品级不完整"))</x:f>
        <x:v>商品级未维护</x:v>
      </x:c>
      <x:c r="P12" s="80" t="str">
        <x:v>启用</x:v>
      </x:c>
      <x:c r="Q12" s="62" t="str">
        <x:v>2026-08-17 10:10:24+08:00</x:v>
      </x:c>
    </x:row>
    <x:row r="13">
      <x:c r="A13" s="62" t="str">
        <x:v>PROD-JD-EMG4418691853286</x:v>
      </x:c>
      <x:c r="B13" s="83" t="str">
        <x:v>M6-7三拼和牛</x:v>
      </x:c>
      <x:c r="C13" s="62" t="str">
        <x:v>牛肉</x:v>
      </x:c>
      <x:c r="D13" s="86" t="n">
        <x:v>1</x:v>
      </x:c>
      <x:c r="E13" s="86" t="n">
        <x:v>0</x:v>
      </x:c>
      <x:c r="F13" s="86" t="n">
        <x:v>0</x:v>
      </x:c>
      <x:c r="G13" s="65"/>
      <x:c r="H13" s="65"/>
      <x:c r="I13" s="65"/>
      <x:c r="J13" s="65"/>
      <x:c r="K13" s="65"/>
      <x:c r="L13" s="65"/>
      <x:c r="M13" s="65"/>
      <x:c r="N13" s="65" t="str">
        <x:f>IF(OR(K13="",L13=""),"",L13-K13-IF(M13="",0,M13))</x:f>
      </x:c>
      <x:c r="O13" s="80" t="str">
        <x:f>IF(AND(K13&lt;&gt;"",L13&lt;&gt;""),"商品级已完整",IF(AND(K13="",L13=""),"商品级未维护","商品级不完整"))</x:f>
        <x:v>商品级未维护</x:v>
      </x:c>
      <x:c r="P13" s="80" t="str">
        <x:v>启用</x:v>
      </x:c>
      <x:c r="Q13" s="62" t="str">
        <x:v>2026-08-17 10:10:24+08:00</x:v>
      </x:c>
    </x:row>
    <x:row r="14">
      <x:c r="A14" s="62" t="str">
        <x:v>PROD-JD-EMG4418691862714</x:v>
      </x:c>
      <x:c r="B14" s="83" t="str">
        <x:v>M8-9和牛上脑片</x:v>
      </x:c>
      <x:c r="C14" s="62" t="str">
        <x:v>牛肉</x:v>
      </x:c>
      <x:c r="D14" s="86" t="n">
        <x:v>1</x:v>
      </x:c>
      <x:c r="E14" s="86" t="n">
        <x:v>1</x:v>
      </x:c>
      <x:c r="F14" s="86" t="n">
        <x:v>1</x:v>
      </x:c>
      <x:c r="G14" s="65" t="n">
        <x:v>96</x:v>
      </x:c>
      <x:c r="H14" s="65" t="n">
        <x:v>96</x:v>
      </x:c>
      <x:c r="I14" s="65" t="n">
        <x:v>138</x:v>
      </x:c>
      <x:c r="J14" s="65" t="n">
        <x:v>138</x:v>
      </x:c>
      <x:c r="K14" s="65"/>
      <x:c r="L14" s="65"/>
      <x:c r="M14" s="65"/>
      <x:c r="N14" s="65" t="str">
        <x:f>IF(OR(K14="",L14=""),"",L14-K14-IF(M14="",0,M14))</x:f>
      </x:c>
      <x:c r="O14" s="80" t="str">
        <x:f>IF(AND(K14&lt;&gt;"",L14&lt;&gt;""),"商品级已完整",IF(AND(K14="",L14=""),"商品级未维护","商品级不完整"))</x:f>
        <x:v>商品级未维护</x:v>
      </x:c>
      <x:c r="P14" s="80" t="str">
        <x:v>启用</x:v>
      </x:c>
      <x:c r="Q14" s="62" t="str">
        <x:v>2026-08-17 10:10:24+08:00</x:v>
      </x:c>
    </x:row>
    <x:row r="15">
      <x:c r="A15" s="62" t="str">
        <x:v>PROD-JD-EMG4419194710122</x:v>
      </x:c>
      <x:c r="B15" s="83" t="str">
        <x:v>M8-9日式和牛厚切烧肉</x:v>
      </x:c>
      <x:c r="C15" s="62" t="str">
        <x:v>牛肉</x:v>
      </x:c>
      <x:c r="D15" s="86" t="n">
        <x:v>1</x:v>
      </x:c>
      <x:c r="E15" s="86" t="n">
        <x:v>0</x:v>
      </x:c>
      <x:c r="F15" s="86" t="n">
        <x:v>0</x:v>
      </x:c>
      <x:c r="G15" s="65"/>
      <x:c r="H15" s="65"/>
      <x:c r="I15" s="65"/>
      <x:c r="J15" s="65"/>
      <x:c r="K15" s="65"/>
      <x:c r="L15" s="65"/>
      <x:c r="M15" s="65"/>
      <x:c r="N15" s="65" t="str">
        <x:f>IF(OR(K15="",L15=""),"",L15-K15-IF(M15="",0,M15))</x:f>
      </x:c>
      <x:c r="O15" s="80" t="str">
        <x:f>IF(AND(K15&lt;&gt;"",L15&lt;&gt;""),"商品级已完整",IF(AND(K15="",L15=""),"商品级未维护","商品级不完整"))</x:f>
        <x:v>商品级未维护</x:v>
      </x:c>
      <x:c r="P15" s="80" t="str">
        <x:v>启用</x:v>
      </x:c>
      <x:c r="Q15" s="62" t="str">
        <x:v>2026-08-17 10:10:24+08:00</x:v>
      </x:c>
    </x:row>
    <x:row r="16">
      <x:c r="A16" s="62" t="str">
        <x:v>PROD-JD-EMG4418824973489</x:v>
      </x:c>
      <x:c r="B16" s="83" t="str">
        <x:v>上脑牛排</x:v>
      </x:c>
      <x:c r="C16" s="62" t="str">
        <x:v>牛肉</x:v>
      </x:c>
      <x:c r="D16" s="86" t="n">
        <x:v>1</x:v>
      </x:c>
      <x:c r="E16" s="86" t="n">
        <x:v>1</x:v>
      </x:c>
      <x:c r="F16" s="86" t="n">
        <x:v>1</x:v>
      </x:c>
      <x:c r="G16" s="65" t="n">
        <x:v>84</x:v>
      </x:c>
      <x:c r="H16" s="65" t="n">
        <x:v>84</x:v>
      </x:c>
      <x:c r="I16" s="65" t="n">
        <x:v>128</x:v>
      </x:c>
      <x:c r="J16" s="65" t="n">
        <x:v>128</x:v>
      </x:c>
      <x:c r="K16" s="65"/>
      <x:c r="L16" s="65"/>
      <x:c r="M16" s="65"/>
      <x:c r="N16" s="65" t="str">
        <x:f>IF(OR(K16="",L16=""),"",L16-K16-IF(M16="",0,M16))</x:f>
      </x:c>
      <x:c r="O16" s="80" t="str">
        <x:f>IF(AND(K16&lt;&gt;"",L16&lt;&gt;""),"商品级已完整",IF(AND(K16="",L16=""),"商品级未维护","商品级不完整"))</x:f>
        <x:v>商品级未维护</x:v>
      </x:c>
      <x:c r="P16" s="80" t="str">
        <x:v>启用</x:v>
      </x:c>
      <x:c r="Q16" s="62" t="str">
        <x:v>2026-08-17 10:10:24+08:00</x:v>
      </x:c>
    </x:row>
    <x:row r="17">
      <x:c r="A17" s="62" t="str">
        <x:v>PROD-JD-EMG4418727174451</x:v>
      </x:c>
      <x:c r="B17" s="83" t="str">
        <x:v>上脑肉片</x:v>
      </x:c>
      <x:c r="C17" s="62" t="str">
        <x:v>牛肉</x:v>
      </x:c>
      <x:c r="D17" s="86" t="n">
        <x:v>1</x:v>
      </x:c>
      <x:c r="E17" s="86" t="n">
        <x:v>1</x:v>
      </x:c>
      <x:c r="F17" s="86" t="n">
        <x:v>1</x:v>
      </x:c>
      <x:c r="G17" s="65" t="n">
        <x:v>106.5</x:v>
      </x:c>
      <x:c r="H17" s="65" t="n">
        <x:v>106.5</x:v>
      </x:c>
      <x:c r="I17" s="65" t="n">
        <x:v>158</x:v>
      </x:c>
      <x:c r="J17" s="65" t="n">
        <x:v>158</x:v>
      </x:c>
      <x:c r="K17" s="65"/>
      <x:c r="L17" s="65"/>
      <x:c r="M17" s="65"/>
      <x:c r="N17" s="65" t="str">
        <x:f>IF(OR(K17="",L17=""),"",L17-K17-IF(M17="",0,M17))</x:f>
      </x:c>
      <x:c r="O17" s="80" t="str">
        <x:f>IF(AND(K17&lt;&gt;"",L17&lt;&gt;""),"商品级已完整",IF(AND(K17="",L17=""),"商品级未维护","商品级不完整"))</x:f>
        <x:v>商品级未维护</x:v>
      </x:c>
      <x:c r="P17" s="80" t="str">
        <x:v>启用</x:v>
      </x:c>
      <x:c r="Q17" s="62" t="str">
        <x:v>2026-08-17 10:10:23+08:00</x:v>
      </x:c>
    </x:row>
    <x:row r="18">
      <x:c r="A18" s="62" t="str">
        <x:v>PROD-JD-EMG4418691848770</x:v>
      </x:c>
      <x:c r="B18" s="83" t="str">
        <x:v>卓宸澳洲谷饲牛蝎子</x:v>
      </x:c>
      <x:c r="C18" s="62" t="str">
        <x:v>牛肉</x:v>
      </x:c>
      <x:c r="D18" s="86" t="n">
        <x:v>1</x:v>
      </x:c>
      <x:c r="E18" s="86" t="n">
        <x:v>0</x:v>
      </x:c>
      <x:c r="F18" s="86" t="n">
        <x:v>0</x:v>
      </x:c>
      <x:c r="G18" s="65"/>
      <x:c r="H18" s="65"/>
      <x:c r="I18" s="65"/>
      <x:c r="J18" s="65"/>
      <x:c r="K18" s="65"/>
      <x:c r="L18" s="65"/>
      <x:c r="M18" s="65"/>
      <x:c r="N18" s="65" t="str">
        <x:f>IF(OR(K18="",L18=""),"",L18-K18-IF(M18="",0,M18))</x:f>
      </x:c>
      <x:c r="O18" s="80" t="str">
        <x:f>IF(AND(K18&lt;&gt;"",L18&lt;&gt;""),"商品级已完整",IF(AND(K18="",L18=""),"商品级未维护","商品级不完整"))</x:f>
        <x:v>商品级未维护</x:v>
      </x:c>
      <x:c r="P18" s="80" t="str">
        <x:v>启用</x:v>
      </x:c>
      <x:c r="Q18" s="62" t="str">
        <x:v>2026-08-17 10:10:24+08:00</x:v>
      </x:c>
    </x:row>
    <x:row r="19">
      <x:c r="A19" s="62" t="str">
        <x:v>PROD-JD-EMG4418904462756</x:v>
      </x:c>
      <x:c r="B19" s="83" t="str">
        <x:v>原切眼肉牛排</x:v>
      </x:c>
      <x:c r="C19" s="62" t="str">
        <x:v>牛肉</x:v>
      </x:c>
      <x:c r="D19" s="86" t="n">
        <x:v>1</x:v>
      </x:c>
      <x:c r="E19" s="86" t="n">
        <x:v>1</x:v>
      </x:c>
      <x:c r="F19" s="86" t="n">
        <x:v>1</x:v>
      </x:c>
      <x:c r="G19" s="65" t="n">
        <x:v>92</x:v>
      </x:c>
      <x:c r="H19" s="65" t="n">
        <x:v>92</x:v>
      </x:c>
      <x:c r="I19" s="65" t="n">
        <x:v>118</x:v>
      </x:c>
      <x:c r="J19" s="65" t="n">
        <x:v>118</x:v>
      </x:c>
      <x:c r="K19" s="65"/>
      <x:c r="L19" s="65"/>
      <x:c r="M19" s="65"/>
      <x:c r="N19" s="65" t="str">
        <x:f>IF(OR(K19="",L19=""),"",L19-K19-IF(M19="",0,M19))</x:f>
      </x:c>
      <x:c r="O19" s="80" t="str">
        <x:f>IF(AND(K19&lt;&gt;"",L19&lt;&gt;""),"商品级已完整",IF(AND(K19="",L19=""),"商品级未维护","商品级不完整"))</x:f>
        <x:v>商品级未维护</x:v>
      </x:c>
      <x:c r="P19" s="80" t="str">
        <x:v>启用</x:v>
      </x:c>
      <x:c r="Q19" s="62" t="str">
        <x:v>2026-08-17 10:10:24+08:00</x:v>
      </x:c>
    </x:row>
    <x:row r="20">
      <x:c r="A20" s="62" t="str">
        <x:v>PROD-JD-EMG4418861059959</x:v>
      </x:c>
      <x:c r="B20" s="83" t="str">
        <x:v>原切西冷牛排</x:v>
      </x:c>
      <x:c r="C20" s="62" t="str">
        <x:v>牛肉</x:v>
      </x:c>
      <x:c r="D20" s="86" t="n">
        <x:v>1</x:v>
      </x:c>
      <x:c r="E20" s="86" t="n">
        <x:v>1</x:v>
      </x:c>
      <x:c r="F20" s="86" t="n">
        <x:v>1</x:v>
      </x:c>
      <x:c r="G20" s="65" t="n">
        <x:v>88</x:v>
      </x:c>
      <x:c r="H20" s="65" t="n">
        <x:v>88</x:v>
      </x:c>
      <x:c r="I20" s="65" t="n">
        <x:v>118</x:v>
      </x:c>
      <x:c r="J20" s="65" t="n">
        <x:v>118</x:v>
      </x:c>
      <x:c r="K20" s="65"/>
      <x:c r="L20" s="65"/>
      <x:c r="M20" s="65"/>
      <x:c r="N20" s="65" t="str">
        <x:f>IF(OR(K20="",L20=""),"",L20-K20-IF(M20="",0,M20))</x:f>
      </x:c>
      <x:c r="O20" s="80" t="str">
        <x:f>IF(AND(K20&lt;&gt;"",L20&lt;&gt;""),"商品级已完整",IF(AND(K20="",L20=""),"商品级未维护","商品级不完整"))</x:f>
        <x:v>商品级未维护</x:v>
      </x:c>
      <x:c r="P20" s="80" t="str">
        <x:v>启用</x:v>
      </x:c>
      <x:c r="Q20" s="62" t="str">
        <x:v>2026-08-17 10:10:24+08:00</x:v>
      </x:c>
    </x:row>
    <x:row r="21">
      <x:c r="A21" s="62" t="str">
        <x:v>PROD-JD-EMG4418697322825</x:v>
      </x:c>
      <x:c r="B21" s="83" t="str">
        <x:v>和牛肉饼100g</x:v>
      </x:c>
      <x:c r="C21" s="62" t="str">
        <x:v>牛肉</x:v>
      </x:c>
      <x:c r="D21" s="86" t="n">
        <x:v>1</x:v>
      </x:c>
      <x:c r="E21" s="86" t="n">
        <x:v>0</x:v>
      </x:c>
      <x:c r="F21" s="86" t="n">
        <x:v>0</x:v>
      </x:c>
      <x:c r="G21" s="65"/>
      <x:c r="H21" s="65"/>
      <x:c r="I21" s="65"/>
      <x:c r="J21" s="65"/>
      <x:c r="K21" s="65"/>
      <x:c r="L21" s="65"/>
      <x:c r="M21" s="65"/>
      <x:c r="N21" s="65" t="str">
        <x:f>IF(OR(K21="",L21=""),"",L21-K21-IF(M21="",0,M21))</x:f>
      </x:c>
      <x:c r="O21" s="80" t="str">
        <x:f>IF(AND(K21&lt;&gt;"",L21&lt;&gt;""),"商品级已完整",IF(AND(K21="",L21=""),"商品级未维护","商品级不完整"))</x:f>
        <x:v>商品级未维护</x:v>
      </x:c>
      <x:c r="P21" s="80" t="str">
        <x:v>启用</x:v>
      </x:c>
      <x:c r="Q21" s="62" t="str">
        <x:v>2026-08-17 10:10:24+08:00</x:v>
      </x:c>
    </x:row>
    <x:row r="22">
      <x:c r="A22" s="62" t="str">
        <x:v>PROD-JD-EMG4418966785087</x:v>
      </x:c>
      <x:c r="B22" s="83" t="str">
        <x:v>子牧黄油牛小排400g</x:v>
      </x:c>
      <x:c r="C22" s="62" t="str">
        <x:v>牛肉</x:v>
      </x:c>
      <x:c r="D22" s="86" t="n">
        <x:v>1</x:v>
      </x:c>
      <x:c r="E22" s="86" t="n">
        <x:v>0</x:v>
      </x:c>
      <x:c r="F22" s="86" t="n">
        <x:v>0</x:v>
      </x:c>
      <x:c r="G22" s="65"/>
      <x:c r="H22" s="65"/>
      <x:c r="I22" s="65"/>
      <x:c r="J22" s="65"/>
      <x:c r="K22" s="65"/>
      <x:c r="L22" s="65"/>
      <x:c r="M22" s="65"/>
      <x:c r="N22" s="65" t="str">
        <x:f>IF(OR(K22="",L22=""),"",L22-K22-IF(M22="",0,M22))</x:f>
      </x:c>
      <x:c r="O22" s="80" t="str">
        <x:f>IF(AND(K22&lt;&gt;"",L22&lt;&gt;""),"商品级已完整",IF(AND(K22="",L22=""),"商品级未维护","商品级不完整"))</x:f>
        <x:v>商品级未维护</x:v>
      </x:c>
      <x:c r="P22" s="80" t="str">
        <x:v>启用</x:v>
      </x:c>
      <x:c r="Q22" s="62" t="str">
        <x:v>2026-08-17 10:10:24+08:00</x:v>
      </x:c>
    </x:row>
    <x:row r="23">
      <x:c r="A23" s="62" t="str">
        <x:v>PROD-JD-EMG4418727180447</x:v>
      </x:c>
      <x:c r="B23" s="83" t="str">
        <x:v>安格斯牛舌</x:v>
      </x:c>
      <x:c r="C23" s="62" t="str">
        <x:v>牛肉</x:v>
      </x:c>
      <x:c r="D23" s="86" t="n">
        <x:v>1</x:v>
      </x:c>
      <x:c r="E23" s="86" t="n">
        <x:v>0</x:v>
      </x:c>
      <x:c r="F23" s="86" t="n">
        <x:v>0</x:v>
      </x:c>
      <x:c r="G23" s="65"/>
      <x:c r="H23" s="65"/>
      <x:c r="I23" s="65"/>
      <x:c r="J23" s="65"/>
      <x:c r="K23" s="65"/>
      <x:c r="L23" s="65"/>
      <x:c r="M23" s="65"/>
      <x:c r="N23" s="65" t="str">
        <x:f>IF(OR(K23="",L23=""),"",L23-K23-IF(M23="",0,M23))</x:f>
      </x:c>
      <x:c r="O23" s="80" t="str">
        <x:f>IF(AND(K23&lt;&gt;"",L23&lt;&gt;""),"商品级已完整",IF(AND(K23="",L23=""),"商品级未维护","商品级不完整"))</x:f>
        <x:v>商品级未维护</x:v>
      </x:c>
      <x:c r="P23" s="80" t="str">
        <x:v>启用</x:v>
      </x:c>
      <x:c r="Q23" s="62" t="str">
        <x:v>2026-08-17 10:10:24+08:00</x:v>
      </x:c>
    </x:row>
    <x:row r="24">
      <x:c r="A24" s="62" t="str">
        <x:v>PROD-JD-EMG4418727169935</x:v>
      </x:c>
      <x:c r="B24" s="83" t="str">
        <x:v>日式谷饲横膈膜150g</x:v>
      </x:c>
      <x:c r="C24" s="62" t="str">
        <x:v>牛肉</x:v>
      </x:c>
      <x:c r="D24" s="86" t="n">
        <x:v>1</x:v>
      </x:c>
      <x:c r="E24" s="86" t="n">
        <x:v>0</x:v>
      </x:c>
      <x:c r="F24" s="86" t="n">
        <x:v>0</x:v>
      </x:c>
      <x:c r="G24" s="65"/>
      <x:c r="H24" s="65"/>
      <x:c r="I24" s="65"/>
      <x:c r="J24" s="65"/>
      <x:c r="K24" s="65"/>
      <x:c r="L24" s="65"/>
      <x:c r="M24" s="65"/>
      <x:c r="N24" s="65" t="str">
        <x:f>IF(OR(K24="",L24=""),"",L24-K24-IF(M24="",0,M24))</x:f>
      </x:c>
      <x:c r="O24" s="80" t="str">
        <x:f>IF(AND(K24&lt;&gt;"",L24&lt;&gt;""),"商品级已完整",IF(AND(K24="",L24=""),"商品级未维护","商品级不完整"))</x:f>
        <x:v>商品级未维护</x:v>
      </x:c>
      <x:c r="P24" s="80" t="str">
        <x:v>启用</x:v>
      </x:c>
      <x:c r="Q24" s="62" t="str">
        <x:v>2026-08-17 10:10:24+08:00</x:v>
      </x:c>
    </x:row>
    <x:row r="25">
      <x:c r="A25" s="62" t="str">
        <x:v>PROD-JD-EMG4418944686675</x:v>
      </x:c>
      <x:c r="B25" s="83" t="str">
        <x:v>板健</x:v>
      </x:c>
      <x:c r="C25" s="62" t="str">
        <x:v>牛肉</x:v>
      </x:c>
      <x:c r="D25" s="86" t="n">
        <x:v>1</x:v>
      </x:c>
      <x:c r="E25" s="86" t="n">
        <x:v>0</x:v>
      </x:c>
      <x:c r="F25" s="86" t="n">
        <x:v>0</x:v>
      </x:c>
      <x:c r="G25" s="65"/>
      <x:c r="H25" s="65"/>
      <x:c r="I25" s="65"/>
      <x:c r="J25" s="65"/>
      <x:c r="K25" s="65"/>
      <x:c r="L25" s="65"/>
      <x:c r="M25" s="65"/>
      <x:c r="N25" s="65" t="str">
        <x:f>IF(OR(K25="",L25=""),"",L25-K25-IF(M25="",0,M25))</x:f>
      </x:c>
      <x:c r="O25" s="80" t="str">
        <x:f>IF(AND(K25&lt;&gt;"",L25&lt;&gt;""),"商品级已完整",IF(AND(K25="",L25=""),"商品级未维护","商品级不完整"))</x:f>
        <x:v>商品级未维护</x:v>
      </x:c>
      <x:c r="P25" s="80" t="str">
        <x:v>启用</x:v>
      </x:c>
      <x:c r="Q25" s="62" t="str">
        <x:v>2026-08-17 10:10:24+08:00</x:v>
      </x:c>
    </x:row>
    <x:row r="26">
      <x:c r="A26" s="62" t="str">
        <x:v>PROD-JD-EMG4418778272348</x:v>
      </x:c>
      <x:c r="B26" s="83" t="str">
        <x:v>牛后腿肉</x:v>
      </x:c>
      <x:c r="C26" s="62" t="str">
        <x:v>牛肉</x:v>
      </x:c>
      <x:c r="D26" s="86" t="n">
        <x:v>1</x:v>
      </x:c>
      <x:c r="E26" s="86" t="n">
        <x:v>1</x:v>
      </x:c>
      <x:c r="F26" s="86" t="n">
        <x:v>1</x:v>
      </x:c>
      <x:c r="G26" s="65" t="n">
        <x:v>112</x:v>
      </x:c>
      <x:c r="H26" s="65" t="n">
        <x:v>112</x:v>
      </x:c>
      <x:c r="I26" s="65" t="n">
        <x:v>128</x:v>
      </x:c>
      <x:c r="J26" s="65" t="n">
        <x:v>128</x:v>
      </x:c>
      <x:c r="K26" s="65"/>
      <x:c r="L26" s="65"/>
      <x:c r="M26" s="65"/>
      <x:c r="N26" s="65" t="str">
        <x:f>IF(OR(K26="",L26=""),"",L26-K26-IF(M26="",0,M26))</x:f>
      </x:c>
      <x:c r="O26" s="80" t="str">
        <x:f>IF(AND(K26&lt;&gt;"",L26&lt;&gt;""),"商品级已完整",IF(AND(K26="",L26=""),"商品级未维护","商品级不完整"))</x:f>
        <x:v>商品级未维护</x:v>
      </x:c>
      <x:c r="P26" s="80" t="str">
        <x:v>启用</x:v>
      </x:c>
      <x:c r="Q26" s="62" t="str">
        <x:v>2026-08-17 10:10:24+08:00</x:v>
      </x:c>
    </x:row>
    <x:row r="27">
      <x:c r="A27" s="62" t="str">
        <x:v>PROD-JD-EMG4418904461896</x:v>
      </x:c>
      <x:c r="B27" s="83" t="str">
        <x:v>牛肉丝</x:v>
      </x:c>
      <x:c r="C27" s="62" t="str">
        <x:v>牛肉</x:v>
      </x:c>
      <x:c r="D27" s="86" t="n">
        <x:v>1</x:v>
      </x:c>
      <x:c r="E27" s="86" t="n">
        <x:v>0</x:v>
      </x:c>
      <x:c r="F27" s="86" t="n">
        <x:v>0</x:v>
      </x:c>
      <x:c r="G27" s="65"/>
      <x:c r="H27" s="65"/>
      <x:c r="I27" s="65"/>
      <x:c r="J27" s="65"/>
      <x:c r="K27" s="65"/>
      <x:c r="L27" s="65"/>
      <x:c r="M27" s="65"/>
      <x:c r="N27" s="65" t="str">
        <x:f>IF(OR(K27="",L27=""),"",L27-K27-IF(M27="",0,M27))</x:f>
      </x:c>
      <x:c r="O27" s="80" t="str">
        <x:f>IF(AND(K27&lt;&gt;"",L27&lt;&gt;""),"商品级已完整",IF(AND(K27="",L27=""),"商品级未维护","商品级不完整"))</x:f>
        <x:v>商品级未维护</x:v>
      </x:c>
      <x:c r="P27" s="80" t="str">
        <x:v>启用</x:v>
      </x:c>
      <x:c r="Q27" s="62" t="str">
        <x:v>2026-08-17 10:10:24+08:00</x:v>
      </x:c>
    </x:row>
    <x:row r="28">
      <x:c r="A28" s="62" t="str">
        <x:v>PROD-JD-EMG4418727169547</x:v>
      </x:c>
      <x:c r="B28" s="83" t="str">
        <x:v>牛肉块</x:v>
      </x:c>
      <x:c r="C28" s="62" t="str">
        <x:v>牛肉</x:v>
      </x:c>
      <x:c r="D28" s="86" t="n">
        <x:v>1</x:v>
      </x:c>
      <x:c r="E28" s="86" t="n">
        <x:v>0</x:v>
      </x:c>
      <x:c r="F28" s="86" t="n">
        <x:v>0</x:v>
      </x:c>
      <x:c r="G28" s="65"/>
      <x:c r="H28" s="65"/>
      <x:c r="I28" s="65"/>
      <x:c r="J28" s="65"/>
      <x:c r="K28" s="65"/>
      <x:c r="L28" s="65"/>
      <x:c r="M28" s="65"/>
      <x:c r="N28" s="65" t="str">
        <x:f>IF(OR(K28="",L28=""),"",L28-K28-IF(M28="",0,M28))</x:f>
      </x:c>
      <x:c r="O28" s="80" t="str">
        <x:f>IF(AND(K28&lt;&gt;"",L28&lt;&gt;""),"商品级已完整",IF(AND(K28="",L28=""),"商品级未维护","商品级不完整"))</x:f>
        <x:v>商品级未维护</x:v>
      </x:c>
      <x:c r="P28" s="80" t="str">
        <x:v>启用</x:v>
      </x:c>
      <x:c r="Q28" s="62" t="str">
        <x:v>2026-08-17 10:10:24+08:00</x:v>
      </x:c>
    </x:row>
    <x:row r="29">
      <x:c r="A29" s="62" t="str">
        <x:v>PROD-JD-EMG4418824974537</x:v>
      </x:c>
      <x:c r="B29" s="83" t="str">
        <x:v>牛肉片</x:v>
      </x:c>
      <x:c r="C29" s="62" t="str">
        <x:v>牛肉</x:v>
      </x:c>
      <x:c r="D29" s="86" t="n">
        <x:v>1</x:v>
      </x:c>
      <x:c r="E29" s="86" t="n">
        <x:v>0</x:v>
      </x:c>
      <x:c r="F29" s="86" t="n">
        <x:v>0</x:v>
      </x:c>
      <x:c r="G29" s="65"/>
      <x:c r="H29" s="65"/>
      <x:c r="I29" s="65"/>
      <x:c r="J29" s="65"/>
      <x:c r="K29" s="65"/>
      <x:c r="L29" s="65"/>
      <x:c r="M29" s="65"/>
      <x:c r="N29" s="65" t="str">
        <x:f>IF(OR(K29="",L29=""),"",L29-K29-IF(M29="",0,M29))</x:f>
      </x:c>
      <x:c r="O29" s="80" t="str">
        <x:f>IF(AND(K29&lt;&gt;"",L29&lt;&gt;""),"商品级已完整",IF(AND(K29="",L29=""),"商品级未维护","商品级不完整"))</x:f>
        <x:v>商品级未维护</x:v>
      </x:c>
      <x:c r="P29" s="80" t="str">
        <x:v>启用</x:v>
      </x:c>
      <x:c r="Q29" s="62" t="str">
        <x:v>2026-08-17 10:10:24+08:00</x:v>
      </x:c>
    </x:row>
    <x:row r="30">
      <x:c r="A30" s="62" t="str">
        <x:v>PROD-JD-EMG4418691858238</x:v>
      </x:c>
      <x:c r="B30" s="83" t="str">
        <x:v>牛肉饼(1.2kg)</x:v>
      </x:c>
      <x:c r="C30" s="62" t="str">
        <x:v>牛肉</x:v>
      </x:c>
      <x:c r="D30" s="86" t="n">
        <x:v>1</x:v>
      </x:c>
      <x:c r="E30" s="86" t="n">
        <x:v>1</x:v>
      </x:c>
      <x:c r="F30" s="86" t="n">
        <x:v>1</x:v>
      </x:c>
      <x:c r="G30" s="65" t="n">
        <x:v>109.5</x:v>
      </x:c>
      <x:c r="H30" s="65" t="n">
        <x:v>109.5</x:v>
      </x:c>
      <x:c r="I30" s="65" t="n">
        <x:v>158</x:v>
      </x:c>
      <x:c r="J30" s="65" t="n">
        <x:v>158</x:v>
      </x:c>
      <x:c r="K30" s="65"/>
      <x:c r="L30" s="65"/>
      <x:c r="M30" s="65"/>
      <x:c r="N30" s="65" t="str">
        <x:f>IF(OR(K30="",L30=""),"",L30-K30-IF(M30="",0,M30))</x:f>
      </x:c>
      <x:c r="O30" s="80" t="str">
        <x:f>IF(AND(K30&lt;&gt;"",L30&lt;&gt;""),"商品级已完整",IF(AND(K30="",L30=""),"商品级未维护","商品级不完整"))</x:f>
        <x:v>商品级未维护</x:v>
      </x:c>
      <x:c r="P30" s="80" t="str">
        <x:v>启用</x:v>
      </x:c>
      <x:c r="Q30" s="62" t="str">
        <x:v>2026-08-17 10:10:24+08:00</x:v>
      </x:c>
    </x:row>
    <x:row r="31">
      <x:c r="A31" s="62" t="str">
        <x:v>PROD-JD-EMG4418904462240</x:v>
      </x:c>
      <x:c r="B31" s="83" t="str">
        <x:v>牛肉馅</x:v>
      </x:c>
      <x:c r="C31" s="62" t="str">
        <x:v>牛肉</x:v>
      </x:c>
      <x:c r="D31" s="86" t="n">
        <x:v>1</x:v>
      </x:c>
      <x:c r="E31" s="86" t="n">
        <x:v>1</x:v>
      </x:c>
      <x:c r="F31" s="86" t="n">
        <x:v>1</x:v>
      </x:c>
      <x:c r="G31" s="65" t="n">
        <x:v>88</x:v>
      </x:c>
      <x:c r="H31" s="65" t="n">
        <x:v>88</x:v>
      </x:c>
      <x:c r="I31" s="65" t="n">
        <x:v>108</x:v>
      </x:c>
      <x:c r="J31" s="65" t="n">
        <x:v>108</x:v>
      </x:c>
      <x:c r="K31" s="65"/>
      <x:c r="L31" s="65"/>
      <x:c r="M31" s="65"/>
      <x:c r="N31" s="65" t="str">
        <x:f>IF(OR(K31="",L31=""),"",L31-K31-IF(M31="",0,M31))</x:f>
      </x:c>
      <x:c r="O31" s="80" t="str">
        <x:f>IF(AND(K31&lt;&gt;"",L31&lt;&gt;""),"商品级已完整",IF(AND(K31="",L31=""),"商品级未维护","商品级不完整"))</x:f>
        <x:v>商品级未维护</x:v>
      </x:c>
      <x:c r="P31" s="80" t="str">
        <x:v>启用</x:v>
      </x:c>
      <x:c r="Q31" s="62" t="str">
        <x:v>2026-08-17 10:10:24+08:00</x:v>
      </x:c>
    </x:row>
    <x:row r="32">
      <x:c r="A32" s="62" t="str">
        <x:v>PROD-JD-EMG4418727173759</x:v>
      </x:c>
      <x:c r="B32" s="83" t="str">
        <x:v>牛肋排</x:v>
      </x:c>
      <x:c r="C32" s="62" t="str">
        <x:v>牛肉</x:v>
      </x:c>
      <x:c r="D32" s="86" t="n">
        <x:v>1</x:v>
      </x:c>
      <x:c r="E32" s="86" t="n">
        <x:v>1</x:v>
      </x:c>
      <x:c r="F32" s="86" t="n">
        <x:v>1</x:v>
      </x:c>
      <x:c r="G32" s="65" t="n">
        <x:v>102</x:v>
      </x:c>
      <x:c r="H32" s="65" t="n">
        <x:v>102</x:v>
      </x:c>
      <x:c r="I32" s="65" t="n">
        <x:v>109</x:v>
      </x:c>
      <x:c r="J32" s="65" t="n">
        <x:v>109</x:v>
      </x:c>
      <x:c r="K32" s="65"/>
      <x:c r="L32" s="65"/>
      <x:c r="M32" s="65"/>
      <x:c r="N32" s="65" t="str">
        <x:f>IF(OR(K32="",L32=""),"",L32-K32-IF(M32="",0,M32))</x:f>
      </x:c>
      <x:c r="O32" s="80" t="str">
        <x:f>IF(AND(K32&lt;&gt;"",L32&lt;&gt;""),"商品级已完整",IF(AND(K32="",L32=""),"商品级未维护","商品级不完整"))</x:f>
        <x:v>商品级未维护</x:v>
      </x:c>
      <x:c r="P32" s="80" t="str">
        <x:v>启用</x:v>
      </x:c>
      <x:c r="Q32" s="62" t="str">
        <x:v>2026-08-17 10:10:24+08:00</x:v>
      </x:c>
    </x:row>
    <x:row r="33">
      <x:c r="A33" s="62" t="str">
        <x:v>PROD-JD-EMG4418861058751</x:v>
      </x:c>
      <x:c r="B33" s="83" t="str">
        <x:v>牛肋条</x:v>
      </x:c>
      <x:c r="C33" s="62" t="str">
        <x:v>牛肉</x:v>
      </x:c>
      <x:c r="D33" s="86" t="n">
        <x:v>1</x:v>
      </x:c>
      <x:c r="E33" s="86" t="n">
        <x:v>1</x:v>
      </x:c>
      <x:c r="F33" s="86" t="n">
        <x:v>1</x:v>
      </x:c>
      <x:c r="G33" s="65" t="n">
        <x:v>126</x:v>
      </x:c>
      <x:c r="H33" s="65" t="n">
        <x:v>126</x:v>
      </x:c>
      <x:c r="I33" s="65" t="n">
        <x:v>128</x:v>
      </x:c>
      <x:c r="J33" s="65" t="n">
        <x:v>128</x:v>
      </x:c>
      <x:c r="K33" s="65"/>
      <x:c r="L33" s="65"/>
      <x:c r="M33" s="65"/>
      <x:c r="N33" s="65" t="str">
        <x:f>IF(OR(K33="",L33=""),"",L33-K33-IF(M33="",0,M33))</x:f>
      </x:c>
      <x:c r="O33" s="80" t="str">
        <x:f>IF(AND(K33&lt;&gt;"",L33&lt;&gt;""),"商品级已完整",IF(AND(K33="",L33=""),"商品级未维护","商品级不完整"))</x:f>
        <x:v>商品级未维护</x:v>
      </x:c>
      <x:c r="P33" s="80" t="str">
        <x:v>启用</x:v>
      </x:c>
      <x:c r="Q33" s="62" t="str">
        <x:v>2026-08-17 10:10:24+08:00</x:v>
      </x:c>
    </x:row>
    <x:row r="34">
      <x:c r="A34" s="62" t="str">
        <x:v>PROD-JD-EMG4418727173231</x:v>
      </x:c>
      <x:c r="B34" s="83" t="str">
        <x:v>牛腩块(500g)</x:v>
      </x:c>
      <x:c r="C34" s="62" t="str">
        <x:v>牛肉</x:v>
      </x:c>
      <x:c r="D34" s="86" t="n">
        <x:v>1</x:v>
      </x:c>
      <x:c r="E34" s="86" t="n">
        <x:v>1</x:v>
      </x:c>
      <x:c r="F34" s="86" t="n">
        <x:v>1</x:v>
      </x:c>
      <x:c r="G34" s="65" t="n">
        <x:v>96</x:v>
      </x:c>
      <x:c r="H34" s="65" t="n">
        <x:v>96</x:v>
      </x:c>
      <x:c r="I34" s="65" t="n">
        <x:v>108</x:v>
      </x:c>
      <x:c r="J34" s="65" t="n">
        <x:v>108</x:v>
      </x:c>
      <x:c r="K34" s="65"/>
      <x:c r="L34" s="65"/>
      <x:c r="M34" s="65"/>
      <x:c r="N34" s="65" t="str">
        <x:f>IF(OR(K34="",L34=""),"",L34-K34-IF(M34="",0,M34))</x:f>
      </x:c>
      <x:c r="O34" s="80" t="str">
        <x:f>IF(AND(K34&lt;&gt;"",L34&lt;&gt;""),"商品级已完整",IF(AND(K34="",L34=""),"商品级未维护","商品级不完整"))</x:f>
        <x:v>商品级未维护</x:v>
      </x:c>
      <x:c r="P34" s="80" t="str">
        <x:v>启用</x:v>
      </x:c>
      <x:c r="Q34" s="62" t="str">
        <x:v>2026-08-17 10:10:24+08:00</x:v>
      </x:c>
    </x:row>
    <x:row r="35">
      <x:c r="A35" s="62" t="str">
        <x:v>PROD-JD-EMG4418824976893</x:v>
      </x:c>
      <x:c r="B35" s="83" t="str">
        <x:v>牛腱子(谷饲牛腱子)</x:v>
      </x:c>
      <x:c r="C35" s="62" t="str">
        <x:v>牛肉</x:v>
      </x:c>
      <x:c r="D35" s="86" t="n">
        <x:v>1</x:v>
      </x:c>
      <x:c r="E35" s="86" t="n">
        <x:v>1</x:v>
      </x:c>
      <x:c r="F35" s="86" t="n">
        <x:v>1</x:v>
      </x:c>
      <x:c r="G35" s="65" t="n">
        <x:v>118</x:v>
      </x:c>
      <x:c r="H35" s="65" t="n">
        <x:v>118</x:v>
      </x:c>
      <x:c r="I35" s="65" t="n">
        <x:v>138</x:v>
      </x:c>
      <x:c r="J35" s="65" t="n">
        <x:v>138</x:v>
      </x:c>
      <x:c r="K35" s="65"/>
      <x:c r="L35" s="65"/>
      <x:c r="M35" s="65"/>
      <x:c r="N35" s="65" t="str">
        <x:f>IF(OR(K35="",L35=""),"",L35-K35-IF(M35="",0,M35))</x:f>
      </x:c>
      <x:c r="O35" s="80" t="str">
        <x:f>IF(AND(K35&lt;&gt;"",L35&lt;&gt;""),"商品级已完整",IF(AND(K35="",L35=""),"商品级未维护","商品级不完整"))</x:f>
        <x:v>商品级未维护</x:v>
      </x:c>
      <x:c r="P35" s="80" t="str">
        <x:v>启用</x:v>
      </x:c>
      <x:c r="Q35" s="62" t="str">
        <x:v>2026-08-17 10:10:24+08:00</x:v>
      </x:c>
    </x:row>
    <x:row r="36">
      <x:c r="A36" s="62" t="str">
        <x:v>PROD-JD-EMG4418705676249</x:v>
      </x:c>
      <x:c r="B36" s="83" t="str">
        <x:v>筋头巴脑(500g)</x:v>
      </x:c>
      <x:c r="C36" s="62" t="str">
        <x:v>牛肉</x:v>
      </x:c>
      <x:c r="D36" s="86" t="n">
        <x:v>1</x:v>
      </x:c>
      <x:c r="E36" s="86" t="n">
        <x:v>1</x:v>
      </x:c>
      <x:c r="F36" s="86" t="n">
        <x:v>1</x:v>
      </x:c>
      <x:c r="G36" s="65" t="n">
        <x:v>94</x:v>
      </x:c>
      <x:c r="H36" s="65" t="n">
        <x:v>94</x:v>
      </x:c>
      <x:c r="I36" s="65" t="n">
        <x:v>138</x:v>
      </x:c>
      <x:c r="J36" s="65" t="n">
        <x:v>138</x:v>
      </x:c>
      <x:c r="K36" s="65"/>
      <x:c r="L36" s="65"/>
      <x:c r="M36" s="65"/>
      <x:c r="N36" s="65" t="str">
        <x:f>IF(OR(K36="",L36=""),"",L36-K36-IF(M36="",0,M36))</x:f>
      </x:c>
      <x:c r="O36" s="80" t="str">
        <x:f>IF(AND(K36&lt;&gt;"",L36&lt;&gt;""),"商品级已完整",IF(AND(K36="",L36=""),"商品级未维护","商品级不完整"))</x:f>
        <x:v>商品级未维护</x:v>
      </x:c>
      <x:c r="P36" s="80" t="str">
        <x:v>启用</x:v>
      </x:c>
      <x:c r="Q36" s="62" t="str">
        <x:v>2026-08-17 10:10:24+08:00</x:v>
      </x:c>
    </x:row>
    <x:row r="37">
      <x:c r="A37" s="62" t="str">
        <x:v>PROD-JD-EMG4418767478832</x:v>
      </x:c>
      <x:c r="B37" s="83" t="str">
        <x:v>精选牛肉卷</x:v>
      </x:c>
      <x:c r="C37" s="62" t="str">
        <x:v>牛肉</x:v>
      </x:c>
      <x:c r="D37" s="86" t="n">
        <x:v>1</x:v>
      </x:c>
      <x:c r="E37" s="86" t="n">
        <x:v>0</x:v>
      </x:c>
      <x:c r="F37" s="86" t="n">
        <x:v>0</x:v>
      </x:c>
      <x:c r="G37" s="65"/>
      <x:c r="H37" s="65"/>
      <x:c r="I37" s="65"/>
      <x:c r="J37" s="65"/>
      <x:c r="K37" s="65"/>
      <x:c r="L37" s="65"/>
      <x:c r="M37" s="65"/>
      <x:c r="N37" s="65" t="str">
        <x:f>IF(OR(K37="",L37=""),"",L37-K37-IF(M37="",0,M37))</x:f>
      </x:c>
      <x:c r="O37" s="80" t="str">
        <x:f>IF(AND(K37&lt;&gt;"",L37&lt;&gt;""),"商品级已完整",IF(AND(K37="",L37=""),"商品级未维护","商品级不完整"))</x:f>
        <x:v>商品级未维护</x:v>
      </x:c>
      <x:c r="P37" s="80" t="str">
        <x:v>启用</x:v>
      </x:c>
      <x:c r="Q37" s="62" t="str">
        <x:v>2026-08-17 10:10:24+08:00</x:v>
      </x:c>
    </x:row>
    <x:row r="38">
      <x:c r="A38" s="62" t="str">
        <x:v>PROD-JD-EMG4418903135378</x:v>
      </x:c>
      <x:c r="B38" s="83" t="str">
        <x:v>肥牛</x:v>
      </x:c>
      <x:c r="C38" s="62" t="str">
        <x:v>牛肉</x:v>
      </x:c>
      <x:c r="D38" s="86" t="n">
        <x:v>1</x:v>
      </x:c>
      <x:c r="E38" s="86" t="n">
        <x:v>0</x:v>
      </x:c>
      <x:c r="F38" s="86" t="n">
        <x:v>0</x:v>
      </x:c>
      <x:c r="G38" s="65"/>
      <x:c r="H38" s="65"/>
      <x:c r="I38" s="65"/>
      <x:c r="J38" s="65"/>
      <x:c r="K38" s="65"/>
      <x:c r="L38" s="65"/>
      <x:c r="M38" s="65"/>
      <x:c r="N38" s="65" t="str">
        <x:f>IF(OR(K38="",L38=""),"",L38-K38-IF(M38="",0,M38))</x:f>
      </x:c>
      <x:c r="O38" s="80" t="str">
        <x:f>IF(AND(K38&lt;&gt;"",L38&lt;&gt;""),"商品级已完整",IF(AND(K38="",L38=""),"商品级未维护","商品级不完整"))</x:f>
        <x:v>商品级未维护</x:v>
      </x:c>
      <x:c r="P38" s="80" t="str">
        <x:v>启用</x:v>
      </x:c>
      <x:c r="Q38" s="62" t="str">
        <x:v>2026-08-17 10:10:24+08:00</x:v>
      </x:c>
    </x:row>
    <x:row r="39">
      <x:c r="A39" s="62" t="str">
        <x:v>PROD-JD-EMG4418904463768</x:v>
      </x:c>
      <x:c r="B39" s="83" t="str">
        <x:v>肩胛烤肉片</x:v>
      </x:c>
      <x:c r="C39" s="62" t="str">
        <x:v>牛肉</x:v>
      </x:c>
      <x:c r="D39" s="86" t="n">
        <x:v>1</x:v>
      </x:c>
      <x:c r="E39" s="86" t="n">
        <x:v>0</x:v>
      </x:c>
      <x:c r="F39" s="86" t="n">
        <x:v>0</x:v>
      </x:c>
      <x:c r="G39" s="65"/>
      <x:c r="H39" s="65"/>
      <x:c r="I39" s="65"/>
      <x:c r="J39" s="65"/>
      <x:c r="K39" s="65"/>
      <x:c r="L39" s="65"/>
      <x:c r="M39" s="65"/>
      <x:c r="N39" s="65" t="str">
        <x:f>IF(OR(K39="",L39=""),"",L39-K39-IF(M39="",0,M39))</x:f>
      </x:c>
      <x:c r="O39" s="80" t="str">
        <x:f>IF(AND(K39&lt;&gt;"",L39&lt;&gt;""),"商品级已完整",IF(AND(K39="",L39=""),"商品级未维护","商品级不完整"))</x:f>
        <x:v>商品级未维护</x:v>
      </x:c>
      <x:c r="P39" s="80" t="str">
        <x:v>启用</x:v>
      </x:c>
      <x:c r="Q39" s="62" t="str">
        <x:v>2026-08-17 10:10:24+08:00</x:v>
      </x:c>
    </x:row>
    <x:row r="40">
      <x:c r="A40" s="62" t="str">
        <x:v>PROD-JD-EMG4418767456456</x:v>
      </x:c>
      <x:c r="B40" s="83" t="str">
        <x:v>韩式家庭烤肉150g</x:v>
      </x:c>
      <x:c r="C40" s="62" t="str">
        <x:v>牛肉</x:v>
      </x:c>
      <x:c r="D40" s="86" t="n">
        <x:v>1</x:v>
      </x:c>
      <x:c r="E40" s="86" t="n">
        <x:v>0</x:v>
      </x:c>
      <x:c r="F40" s="86" t="n">
        <x:v>0</x:v>
      </x:c>
      <x:c r="G40" s="65"/>
      <x:c r="H40" s="65"/>
      <x:c r="I40" s="65"/>
      <x:c r="J40" s="65"/>
      <x:c r="K40" s="65"/>
      <x:c r="L40" s="65"/>
      <x:c r="M40" s="65"/>
      <x:c r="N40" s="65" t="str">
        <x:f>IF(OR(K40="",L40=""),"",L40-K40-IF(M40="",0,M40))</x:f>
      </x:c>
      <x:c r="O40" s="80" t="str">
        <x:f>IF(AND(K40&lt;&gt;"",L40&lt;&gt;""),"商品级已完整",IF(AND(K40="",L40=""),"商品级未维护","商品级不完整"))</x:f>
        <x:v>商品级未维护</x:v>
      </x:c>
      <x:c r="P40" s="80" t="str">
        <x:v>启用</x:v>
      </x:c>
      <x:c r="Q40" s="62" t="str">
        <x:v>2026-08-17 10:10:24+08:00</x:v>
      </x:c>
    </x:row>
    <x:row r="41">
      <x:c r="A41" s="62" t="str">
        <x:v>PROD-TP-ZHONGHUI-83755271</x:v>
      </x:c>
      <x:c r="B41" s="83" t="str">
        <x:v>子牧雷山高海拔农家散养土黑猪五花肉450g*2</x:v>
      </x:c>
      <x:c r="C41" s="62" t="str">
        <x:v>猪肉</x:v>
      </x:c>
      <x:c r="D41" s="86" t="n">
        <x:v>1</x:v>
      </x:c>
      <x:c r="E41" s="86" t="n">
        <x:v>1</x:v>
      </x:c>
      <x:c r="F41" s="86" t="n">
        <x:v>1</x:v>
      </x:c>
      <x:c r="G41" s="65" t="n">
        <x:v>84</x:v>
      </x:c>
      <x:c r="H41" s="65" t="n">
        <x:v>84</x:v>
      </x:c>
      <x:c r="I41" s="65" t="n">
        <x:v>118</x:v>
      </x:c>
      <x:c r="J41" s="65" t="n">
        <x:v>118</x:v>
      </x:c>
      <x:c r="K41" s="65" t="n">
        <x:v>84</x:v>
      </x:c>
      <x:c r="L41" s="65" t="n">
        <x:v>118</x:v>
      </x:c>
      <x:c r="M41" s="65"/>
      <x:c r="N41" s="65" t="n">
        <x:f>IF(OR(K41="",L41=""),"",L41-K41-IF(M41="",0,M41))</x:f>
        <x:v>34</x:v>
      </x:c>
      <x:c r="O41" s="80" t="str">
        <x:f>IF(AND(K41&lt;&gt;"",L41&lt;&gt;""),"商品级已完整",IF(AND(K41="",L41=""),"商品级未维护","商品级不完整"))</x:f>
        <x:v>商品级已完整</x:v>
      </x:c>
      <x:c r="P41" s="80" t="str">
        <x:v>启用</x:v>
      </x:c>
      <x:c r="Q41" s="62" t="str">
        <x:v>2026-08-21 10:50:10+08:00</x:v>
      </x:c>
    </x:row>
    <x:row r="42">
      <x:c r="A42" s="62" t="str">
        <x:v>PROD-TP-ZHONGHUI-83755270</x:v>
      </x:c>
      <x:c r="B42" s="83" t="str">
        <x:v>子牧雷山高海拔农家散养土黑猪排骨450g*2</x:v>
      </x:c>
      <x:c r="C42" s="62" t="str">
        <x:v>猪肉</x:v>
      </x:c>
      <x:c r="D42" s="86" t="n">
        <x:v>1</x:v>
      </x:c>
      <x:c r="E42" s="86" t="n">
        <x:v>1</x:v>
      </x:c>
      <x:c r="F42" s="86" t="n">
        <x:v>1</x:v>
      </x:c>
      <x:c r="G42" s="65" t="n">
        <x:v>84</x:v>
      </x:c>
      <x:c r="H42" s="65" t="n">
        <x:v>84</x:v>
      </x:c>
      <x:c r="I42" s="65" t="n">
        <x:v>118</x:v>
      </x:c>
      <x:c r="J42" s="65" t="n">
        <x:v>118</x:v>
      </x:c>
      <x:c r="K42" s="65" t="n">
        <x:v>84</x:v>
      </x:c>
      <x:c r="L42" s="65" t="n">
        <x:v>118</x:v>
      </x:c>
      <x:c r="M42" s="65"/>
      <x:c r="N42" s="65" t="n">
        <x:f>IF(OR(K42="",L42=""),"",L42-K42-IF(M42="",0,M42))</x:f>
        <x:v>34</x:v>
      </x:c>
      <x:c r="O42" s="80" t="str">
        <x:f>IF(AND(K42&lt;&gt;"",L42&lt;&gt;""),"商品级已完整",IF(AND(K42="",L42=""),"商品级未维护","商品级不完整"))</x:f>
        <x:v>商品级已完整</x:v>
      </x:c>
      <x:c r="P42" s="80" t="str">
        <x:v>启用</x:v>
      </x:c>
      <x:c r="Q42" s="62" t="str">
        <x:v>2026-08-21 10:50:10+08:00</x:v>
      </x:c>
    </x:row>
    <x:row r="43">
      <x:c r="A43" s="62" t="str">
        <x:v>PROD-JD-EMG4418726551051</x:v>
      </x:c>
      <x:c r="B43" s="83" t="str">
        <x:v>海盐五花肉120g</x:v>
      </x:c>
      <x:c r="C43" s="62" t="str">
        <x:v>猪肉</x:v>
      </x:c>
      <x:c r="D43" s="86" t="n">
        <x:v>1</x:v>
      </x:c>
      <x:c r="E43" s="86" t="n">
        <x:v>0</x:v>
      </x:c>
      <x:c r="F43" s="86" t="n">
        <x:v>0</x:v>
      </x:c>
      <x:c r="G43" s="65"/>
      <x:c r="H43" s="65"/>
      <x:c r="I43" s="65"/>
      <x:c r="J43" s="65"/>
      <x:c r="K43" s="65"/>
      <x:c r="L43" s="65"/>
      <x:c r="M43" s="65"/>
      <x:c r="N43" s="65" t="str">
        <x:f>IF(OR(K43="",L43=""),"",L43-K43-IF(M43="",0,M43))</x:f>
      </x:c>
      <x:c r="O43" s="80" t="str">
        <x:f>IF(AND(K43&lt;&gt;"",L43&lt;&gt;""),"商品级已完整",IF(AND(K43="",L43=""),"商品级未维护","商品级不完整"))</x:f>
        <x:v>商品级未维护</x:v>
      </x:c>
      <x:c r="P43" s="80" t="str">
        <x:v>启用</x:v>
      </x:c>
      <x:c r="Q43" s="62" t="str">
        <x:v>2026-08-17 10:10:24+08:00</x:v>
      </x:c>
    </x:row>
    <x:row r="44">
      <x:c r="A44" s="62" t="str">
        <x:v>PROD-JD-EMG4418767454800</x:v>
      </x:c>
      <x:c r="B44" s="83" t="str">
        <x:v>黄金六两120g</x:v>
      </x:c>
      <x:c r="C44" s="62" t="str">
        <x:v>猪肉</x:v>
      </x:c>
      <x:c r="D44" s="86" t="n">
        <x:v>1</x:v>
      </x:c>
      <x:c r="E44" s="86" t="n">
        <x:v>0</x:v>
      </x:c>
      <x:c r="F44" s="86" t="n">
        <x:v>0</x:v>
      </x:c>
      <x:c r="G44" s="65"/>
      <x:c r="H44" s="65"/>
      <x:c r="I44" s="65"/>
      <x:c r="J44" s="65"/>
      <x:c r="K44" s="65"/>
      <x:c r="L44" s="65"/>
      <x:c r="M44" s="65"/>
      <x:c r="N44" s="65" t="str">
        <x:f>IF(OR(K44="",L44=""),"",L44-K44-IF(M44="",0,M44))</x:f>
      </x:c>
      <x:c r="O44" s="80" t="str">
        <x:f>IF(AND(K44&lt;&gt;"",L44&lt;&gt;""),"商品级已完整",IF(AND(K44="",L44=""),"商品级未维护","商品级不完整"))</x:f>
        <x:v>商品级未维护</x:v>
      </x:c>
      <x:c r="P44" s="80" t="str">
        <x:v>启用</x:v>
      </x:c>
      <x:c r="Q44" s="62" t="str">
        <x:v>2026-08-17 10:10:24+08:00</x:v>
      </x:c>
    </x:row>
    <x:row r="45">
      <x:c r="A45" s="62" t="str">
        <x:v>PROD-JD-EMG4419200212053</x:v>
      </x:c>
      <x:c r="B45" s="83" t="str">
        <x:v>鸡肉烧烤组合</x:v>
      </x:c>
      <x:c r="C45" s="62" t="str">
        <x:v>禽肉</x:v>
      </x:c>
      <x:c r="D45" s="86" t="n">
        <x:v>1</x:v>
      </x:c>
      <x:c r="E45" s="86" t="n">
        <x:v>0</x:v>
      </x:c>
      <x:c r="F45" s="86" t="n">
        <x:v>0</x:v>
      </x:c>
      <x:c r="G45" s="65"/>
      <x:c r="H45" s="65"/>
      <x:c r="I45" s="65"/>
      <x:c r="J45" s="65"/>
      <x:c r="K45" s="65"/>
      <x:c r="L45" s="65"/>
      <x:c r="M45" s="65"/>
      <x:c r="N45" s="65" t="str">
        <x:f>IF(OR(K45="",L45=""),"",L45-K45-IF(M45="",0,M45))</x:f>
      </x:c>
      <x:c r="O45" s="80" t="str">
        <x:f>IF(AND(K45&lt;&gt;"",L45&lt;&gt;""),"商品级已完整",IF(AND(K45="",L45=""),"商品级未维护","商品级不完整"))</x:f>
        <x:v>商品级未维护</x:v>
      </x:c>
      <x:c r="P45" s="80" t="str">
        <x:v>启用</x:v>
      </x:c>
      <x:c r="Q45" s="62" t="str">
        <x:v>2026-08-17 10:10:24+08:00</x:v>
      </x:c>
    </x:row>
    <x:row r="46">
      <x:c r="A46" s="62" t="str">
        <x:v>PROD-JD-EMG4418727188031</x:v>
      </x:c>
      <x:c r="B46" s="83" t="str">
        <x:v>东乡贡羊羔羊羊尾尖</x:v>
      </x:c>
      <x:c r="C46" s="62" t="str">
        <x:v>羊肉</x:v>
      </x:c>
      <x:c r="D46" s="86" t="n">
        <x:v>1</x:v>
      </x:c>
      <x:c r="E46" s="86" t="n">
        <x:v>0</x:v>
      </x:c>
      <x:c r="F46" s="86" t="n">
        <x:v>0</x:v>
      </x:c>
      <x:c r="G46" s="65"/>
      <x:c r="H46" s="65"/>
      <x:c r="I46" s="65"/>
      <x:c r="J46" s="65"/>
      <x:c r="K46" s="65"/>
      <x:c r="L46" s="65"/>
      <x:c r="M46" s="65"/>
      <x:c r="N46" s="65" t="str">
        <x:f>IF(OR(K46="",L46=""),"",L46-K46-IF(M46="",0,M46))</x:f>
      </x:c>
      <x:c r="O46" s="80" t="str">
        <x:f>IF(AND(K46&lt;&gt;"",L46&lt;&gt;""),"商品级已完整",IF(AND(K46="",L46=""),"商品级未维护","商品级不完整"))</x:f>
        <x:v>商品级未维护</x:v>
      </x:c>
      <x:c r="P46" s="80" t="str">
        <x:v>启用</x:v>
      </x:c>
      <x:c r="Q46" s="62" t="str">
        <x:v>2026-08-17 10:10:24+08:00</x:v>
      </x:c>
    </x:row>
    <x:row r="47">
      <x:c r="A47" s="62" t="str">
        <x:v>PROD-JD-EMG4418727177771</x:v>
      </x:c>
      <x:c r="B47" s="83" t="str">
        <x:v>东乡贡羊羔羊羊排块</x:v>
      </x:c>
      <x:c r="C47" s="62" t="str">
        <x:v>羊肉</x:v>
      </x:c>
      <x:c r="D47" s="86" t="n">
        <x:v>1</x:v>
      </x:c>
      <x:c r="E47" s="86" t="n">
        <x:v>0</x:v>
      </x:c>
      <x:c r="F47" s="86" t="n">
        <x:v>0</x:v>
      </x:c>
      <x:c r="G47" s="65"/>
      <x:c r="H47" s="65"/>
      <x:c r="I47" s="65"/>
      <x:c r="J47" s="65"/>
      <x:c r="K47" s="65"/>
      <x:c r="L47" s="65"/>
      <x:c r="M47" s="65"/>
      <x:c r="N47" s="65" t="str">
        <x:f>IF(OR(K47="",L47=""),"",L47-K47-IF(M47="",0,M47))</x:f>
      </x:c>
      <x:c r="O47" s="80" t="str">
        <x:f>IF(AND(K47&lt;&gt;"",L47&lt;&gt;""),"商品级已完整",IF(AND(K47="",L47=""),"商品级未维护","商品级不完整"))</x:f>
        <x:v>商品级未维护</x:v>
      </x:c>
      <x:c r="P47" s="80" t="str">
        <x:v>启用</x:v>
      </x:c>
      <x:c r="Q47" s="62" t="str">
        <x:v>2026-08-17 10:10:24+08:00</x:v>
      </x:c>
    </x:row>
    <x:row r="48">
      <x:c r="A48" s="62" t="str">
        <x:v>PROD-JD-EMG4418691857578</x:v>
      </x:c>
      <x:c r="B48" s="83" t="str">
        <x:v>东乡贡羊羔羊羊肉卷</x:v>
      </x:c>
      <x:c r="C48" s="62" t="str">
        <x:v>羊肉</x:v>
      </x:c>
      <x:c r="D48" s="86" t="n">
        <x:v>1</x:v>
      </x:c>
      <x:c r="E48" s="86" t="n">
        <x:v>0</x:v>
      </x:c>
      <x:c r="F48" s="86" t="n">
        <x:v>0</x:v>
      </x:c>
      <x:c r="G48" s="65"/>
      <x:c r="H48" s="65"/>
      <x:c r="I48" s="65"/>
      <x:c r="J48" s="65"/>
      <x:c r="K48" s="65"/>
      <x:c r="L48" s="65"/>
      <x:c r="M48" s="65"/>
      <x:c r="N48" s="65" t="str">
        <x:f>IF(OR(K48="",L48=""),"",L48-K48-IF(M48="",0,M48))</x:f>
      </x:c>
      <x:c r="O48" s="80" t="str">
        <x:f>IF(AND(K48&lt;&gt;"",L48&lt;&gt;""),"商品级已完整",IF(AND(K48="",L48=""),"商品级未维护","商品级不完整"))</x:f>
        <x:v>商品级未维护</x:v>
      </x:c>
      <x:c r="P48" s="80" t="str">
        <x:v>启用</x:v>
      </x:c>
      <x:c r="Q48" s="62" t="str">
        <x:v>2026-08-17 10:10:24+08:00</x:v>
      </x:c>
    </x:row>
    <x:row r="49">
      <x:c r="A49" s="62" t="str">
        <x:v>PROD-JD-EMG4418819505978</x:v>
      </x:c>
      <x:c r="B49" s="83" t="str">
        <x:v>东乡贡羊羔羊羊腱子</x:v>
      </x:c>
      <x:c r="C49" s="62" t="str">
        <x:v>羊肉</x:v>
      </x:c>
      <x:c r="D49" s="86" t="n">
        <x:v>1</x:v>
      </x:c>
      <x:c r="E49" s="86" t="n">
        <x:v>0</x:v>
      </x:c>
      <x:c r="F49" s="86" t="n">
        <x:v>0</x:v>
      </x:c>
      <x:c r="G49" s="65"/>
      <x:c r="H49" s="65"/>
      <x:c r="I49" s="65"/>
      <x:c r="J49" s="65"/>
      <x:c r="K49" s="65"/>
      <x:c r="L49" s="65"/>
      <x:c r="M49" s="65"/>
      <x:c r="N49" s="65" t="str">
        <x:f>IF(OR(K49="",L49=""),"",L49-K49-IF(M49="",0,M49))</x:f>
      </x:c>
      <x:c r="O49" s="80" t="str">
        <x:f>IF(AND(K49&lt;&gt;"",L49&lt;&gt;""),"商品级已完整",IF(AND(K49="",L49=""),"商品级未维护","商品级不完整"))</x:f>
        <x:v>商品级未维护</x:v>
      </x:c>
      <x:c r="P49" s="80" t="str">
        <x:v>启用</x:v>
      </x:c>
      <x:c r="Q49" s="62" t="str">
        <x:v>2026-08-17 10:10:24+08:00</x:v>
      </x:c>
    </x:row>
    <x:row r="50">
      <x:c r="A50" s="62" t="str">
        <x:v>PROD-JD-EMG4418727177039</x:v>
      </x:c>
      <x:c r="B50" s="83" t="str">
        <x:v>东乡贡羊羔羊羊腿块</x:v>
      </x:c>
      <x:c r="C50" s="62" t="str">
        <x:v>羊肉</x:v>
      </x:c>
      <x:c r="D50" s="86" t="n">
        <x:v>1</x:v>
      </x:c>
      <x:c r="E50" s="86" t="n">
        <x:v>0</x:v>
      </x:c>
      <x:c r="F50" s="86" t="n">
        <x:v>0</x:v>
      </x:c>
      <x:c r="G50" s="65"/>
      <x:c r="H50" s="65"/>
      <x:c r="I50" s="65"/>
      <x:c r="J50" s="65"/>
      <x:c r="K50" s="65"/>
      <x:c r="L50" s="65"/>
      <x:c r="M50" s="65"/>
      <x:c r="N50" s="65" t="str">
        <x:f>IF(OR(K50="",L50=""),"",L50-K50-IF(M50="",0,M50))</x:f>
      </x:c>
      <x:c r="O50" s="80" t="str">
        <x:f>IF(AND(K50&lt;&gt;"",L50&lt;&gt;""),"商品级已完整",IF(AND(K50="",L50=""),"商品级未维护","商品级不完整"))</x:f>
        <x:v>商品级未维护</x:v>
      </x:c>
      <x:c r="P50" s="80" t="str">
        <x:v>启用</x:v>
      </x:c>
      <x:c r="Q50" s="62" t="str">
        <x:v>2026-08-17 10:10:24+08:00</x:v>
      </x:c>
    </x:row>
    <x:row r="51">
      <x:c r="A51" s="62" t="str">
        <x:v>PROD-JD-EMG4418861057923</x:v>
      </x:c>
      <x:c r="B51" s="83" t="str">
        <x:v>东乡贡羊羔羊羊腿骨</x:v>
      </x:c>
      <x:c r="C51" s="62" t="str">
        <x:v>羊肉</x:v>
      </x:c>
      <x:c r="D51" s="86" t="n">
        <x:v>1</x:v>
      </x:c>
      <x:c r="E51" s="86" t="n">
        <x:v>0</x:v>
      </x:c>
      <x:c r="F51" s="86" t="n">
        <x:v>0</x:v>
      </x:c>
      <x:c r="G51" s="65"/>
      <x:c r="H51" s="65"/>
      <x:c r="I51" s="65"/>
      <x:c r="J51" s="65"/>
      <x:c r="K51" s="65"/>
      <x:c r="L51" s="65"/>
      <x:c r="M51" s="65"/>
      <x:c r="N51" s="65" t="str">
        <x:f>IF(OR(K51="",L51=""),"",L51-K51-IF(M51="",0,M51))</x:f>
      </x:c>
      <x:c r="O51" s="80" t="str">
        <x:f>IF(AND(K51&lt;&gt;"",L51&lt;&gt;""),"商品级已完整",IF(AND(K51="",L51=""),"商品级未维护","商品级不完整"))</x:f>
        <x:v>商品级未维护</x:v>
      </x:c>
      <x:c r="P51" s="80" t="str">
        <x:v>启用</x:v>
      </x:c>
      <x:c r="Q51" s="62" t="str">
        <x:v>2026-08-17 10:10:24+08:00</x:v>
      </x:c>
    </x:row>
    <x:row r="52">
      <x:c r="A52" s="62" t="str">
        <x:v>PROD-JD-EMG4418767476480</x:v>
      </x:c>
      <x:c r="B52" s="83" t="str">
        <x:v>东乡贡羊羔羊羊蝎子</x:v>
      </x:c>
      <x:c r="C52" s="62" t="str">
        <x:v>羊肉</x:v>
      </x:c>
      <x:c r="D52" s="86" t="n">
        <x:v>1</x:v>
      </x:c>
      <x:c r="E52" s="86" t="n">
        <x:v>0</x:v>
      </x:c>
      <x:c r="F52" s="86" t="n">
        <x:v>0</x:v>
      </x:c>
      <x:c r="G52" s="65"/>
      <x:c r="H52" s="65"/>
      <x:c r="I52" s="65"/>
      <x:c r="J52" s="65"/>
      <x:c r="K52" s="65"/>
      <x:c r="L52" s="65"/>
      <x:c r="M52" s="65"/>
      <x:c r="N52" s="65" t="str">
        <x:f>IF(OR(K52="",L52=""),"",L52-K52-IF(M52="",0,M52))</x:f>
      </x:c>
      <x:c r="O52" s="80" t="str">
        <x:f>IF(AND(K52&lt;&gt;"",L52&lt;&gt;""),"商品级已完整",IF(AND(K52="",L52=""),"商品级未维护","商品级不完整"))</x:f>
        <x:v>商品级未维护</x:v>
      </x:c>
      <x:c r="P52" s="80" t="str">
        <x:v>启用</x:v>
      </x:c>
      <x:c r="Q52" s="62" t="str">
        <x:v>2026-08-17 10:10:24+08:00</x:v>
      </x:c>
    </x:row>
    <x:row r="53">
      <x:c r="A53" s="62" t="str">
        <x:v>PROD-JD-EMG4418861053763</x:v>
      </x:c>
      <x:c r="B53" s="83" t="str">
        <x:v>带骨羊后腿块</x:v>
      </x:c>
      <x:c r="C53" s="62" t="str">
        <x:v>羊肉</x:v>
      </x:c>
      <x:c r="D53" s="86" t="n">
        <x:v>1</x:v>
      </x:c>
      <x:c r="E53" s="86" t="n">
        <x:v>1</x:v>
      </x:c>
      <x:c r="F53" s="86" t="n">
        <x:v>1</x:v>
      </x:c>
      <x:c r="G53" s="65" t="n">
        <x:v>94</x:v>
      </x:c>
      <x:c r="H53" s="65" t="n">
        <x:v>94</x:v>
      </x:c>
      <x:c r="I53" s="65" t="n">
        <x:v>136.5</x:v>
      </x:c>
      <x:c r="J53" s="65" t="n">
        <x:v>136.5</x:v>
      </x:c>
      <x:c r="K53" s="65"/>
      <x:c r="L53" s="65"/>
      <x:c r="M53" s="65"/>
      <x:c r="N53" s="65" t="str">
        <x:f>IF(OR(K53="",L53=""),"",L53-K53-IF(M53="",0,M53))</x:f>
      </x:c>
      <x:c r="O53" s="80" t="str">
        <x:f>IF(AND(K53&lt;&gt;"",L53&lt;&gt;""),"商品级已完整",IF(AND(K53="",L53=""),"商品级未维护","商品级不完整"))</x:f>
        <x:v>商品级未维护</x:v>
      </x:c>
      <x:c r="P53" s="80" t="str">
        <x:v>启用</x:v>
      </x:c>
      <x:c r="Q53" s="62" t="str">
        <x:v>2026-08-17 10:10:24+08:00</x:v>
      </x:c>
    </x:row>
    <x:row r="54">
      <x:c r="A54" s="62" t="str">
        <x:v>PROD-JD-EMG4418861052375</x:v>
      </x:c>
      <x:c r="B54" s="83" t="str">
        <x:v>带骨羊肉块</x:v>
      </x:c>
      <x:c r="C54" s="62" t="str">
        <x:v>羊肉</x:v>
      </x:c>
      <x:c r="D54" s="86" t="n">
        <x:v>1</x:v>
      </x:c>
      <x:c r="E54" s="86" t="n">
        <x:v>1</x:v>
      </x:c>
      <x:c r="F54" s="86" t="n">
        <x:v>1</x:v>
      </x:c>
      <x:c r="G54" s="65" t="n">
        <x:v>95</x:v>
      </x:c>
      <x:c r="H54" s="65" t="n">
        <x:v>95</x:v>
      </x:c>
      <x:c r="I54" s="65" t="n">
        <x:v>149</x:v>
      </x:c>
      <x:c r="J54" s="65" t="n">
        <x:v>149</x:v>
      </x:c>
      <x:c r="K54" s="65"/>
      <x:c r="L54" s="65"/>
      <x:c r="M54" s="65"/>
      <x:c r="N54" s="65" t="str">
        <x:f>IF(OR(K54="",L54=""),"",L54-K54-IF(M54="",0,M54))</x:f>
      </x:c>
      <x:c r="O54" s="80" t="str">
        <x:f>IF(AND(K54&lt;&gt;"",L54&lt;&gt;""),"商品级已完整",IF(AND(K54="",L54=""),"商品级未维护","商品级不完整"))</x:f>
        <x:v>商品级未维护</x:v>
      </x:c>
      <x:c r="P54" s="80" t="str">
        <x:v>启用</x:v>
      </x:c>
      <x:c r="Q54" s="62" t="str">
        <x:v>2026-08-17 10:10:24+08:00</x:v>
      </x:c>
    </x:row>
    <x:row r="55">
      <x:c r="A55" s="62" t="str">
        <x:v>PROD-JD-EMG4418904458528</x:v>
      </x:c>
      <x:c r="B55" s="83" t="str">
        <x:v>新西兰羔羊羊颈排</x:v>
      </x:c>
      <x:c r="C55" s="62" t="str">
        <x:v>羊肉</x:v>
      </x:c>
      <x:c r="D55" s="86" t="n">
        <x:v>1</x:v>
      </x:c>
      <x:c r="E55" s="86" t="n">
        <x:v>1</x:v>
      </x:c>
      <x:c r="F55" s="86" t="n">
        <x:v>1</x:v>
      </x:c>
      <x:c r="G55" s="65" t="n">
        <x:v>98</x:v>
      </x:c>
      <x:c r="H55" s="65" t="n">
        <x:v>98</x:v>
      </x:c>
      <x:c r="I55" s="65" t="n">
        <x:v>116</x:v>
      </x:c>
      <x:c r="J55" s="65" t="n">
        <x:v>116</x:v>
      </x:c>
      <x:c r="K55" s="65"/>
      <x:c r="L55" s="65"/>
      <x:c r="M55" s="65"/>
      <x:c r="N55" s="65" t="str">
        <x:f>IF(OR(K55="",L55=""),"",L55-K55-IF(M55="",0,M55))</x:f>
      </x:c>
      <x:c r="O55" s="80" t="str">
        <x:f>IF(AND(K55&lt;&gt;"",L55&lt;&gt;""),"商品级已完整",IF(AND(K55="",L55=""),"商品级未维护","商品级不完整"))</x:f>
        <x:v>商品级未维护</x:v>
      </x:c>
      <x:c r="P55" s="80" t="str">
        <x:v>启用</x:v>
      </x:c>
      <x:c r="Q55" s="62" t="str">
        <x:v>2026-08-17 10:10:24+08:00</x:v>
      </x:c>
    </x:row>
    <x:row r="56">
      <x:c r="A56" s="62" t="str">
        <x:v>PROD-JD-EMG4418697325133</x:v>
      </x:c>
      <x:c r="B56" s="83" t="str">
        <x:v>新西兰羔羊肉卷</x:v>
      </x:c>
      <x:c r="C56" s="62" t="str">
        <x:v>羊肉</x:v>
      </x:c>
      <x:c r="D56" s="86" t="n">
        <x:v>1</x:v>
      </x:c>
      <x:c r="E56" s="86" t="n">
        <x:v>1</x:v>
      </x:c>
      <x:c r="F56" s="86" t="n">
        <x:v>1</x:v>
      </x:c>
      <x:c r="G56" s="65" t="n">
        <x:v>101</x:v>
      </x:c>
      <x:c r="H56" s="65" t="n">
        <x:v>101</x:v>
      </x:c>
      <x:c r="I56" s="65" t="n">
        <x:v>145</x:v>
      </x:c>
      <x:c r="J56" s="65" t="n">
        <x:v>145</x:v>
      </x:c>
      <x:c r="K56" s="65"/>
      <x:c r="L56" s="65"/>
      <x:c r="M56" s="65"/>
      <x:c r="N56" s="65" t="str">
        <x:f>IF(OR(K56="",L56=""),"",L56-K56-IF(M56="",0,M56))</x:f>
      </x:c>
      <x:c r="O56" s="80" t="str">
        <x:f>IF(AND(K56&lt;&gt;"",L56&lt;&gt;""),"商品级已完整",IF(AND(K56="",L56=""),"商品级未维护","商品级不完整"))</x:f>
        <x:v>商品级未维护</x:v>
      </x:c>
      <x:c r="P56" s="80" t="str">
        <x:v>启用</x:v>
      </x:c>
      <x:c r="Q56" s="62" t="str">
        <x:v>2026-08-17 10:10:24+08:00</x:v>
      </x:c>
    </x:row>
    <x:row r="57">
      <x:c r="A57" s="62" t="str">
        <x:v>PROD-JD-EMG4418819504770</x:v>
      </x:c>
      <x:c r="B57" s="83" t="str">
        <x:v>法式羊排</x:v>
      </x:c>
      <x:c r="C57" s="62" t="str">
        <x:v>羊肉</x:v>
      </x:c>
      <x:c r="D57" s="86" t="n">
        <x:v>1</x:v>
      </x:c>
      <x:c r="E57" s="86" t="n">
        <x:v>0</x:v>
      </x:c>
      <x:c r="F57" s="86" t="n">
        <x:v>0</x:v>
      </x:c>
      <x:c r="G57" s="65"/>
      <x:c r="H57" s="65"/>
      <x:c r="I57" s="65"/>
      <x:c r="J57" s="65"/>
      <x:c r="K57" s="65"/>
      <x:c r="L57" s="65"/>
      <x:c r="M57" s="65"/>
      <x:c r="N57" s="65" t="str">
        <x:f>IF(OR(K57="",L57=""),"",L57-K57-IF(M57="",0,M57))</x:f>
      </x:c>
      <x:c r="O57" s="80" t="str">
        <x:f>IF(AND(K57&lt;&gt;"",L57&lt;&gt;""),"商品级已完整",IF(AND(K57="",L57=""),"商品级未维护","商品级不完整"))</x:f>
        <x:v>商品级未维护</x:v>
      </x:c>
      <x:c r="P57" s="80" t="str">
        <x:v>启用</x:v>
      </x:c>
      <x:c r="Q57" s="62" t="str">
        <x:v>2026-08-17 10:10:24+08:00</x:v>
      </x:c>
    </x:row>
    <x:row r="58">
      <x:c r="A58" s="62" t="str">
        <x:v>PROD-JD-EMG4418691851778</x:v>
      </x:c>
      <x:c r="B58" s="83" t="str">
        <x:v>羊小腿</x:v>
      </x:c>
      <x:c r="C58" s="62" t="str">
        <x:v>羊肉</x:v>
      </x:c>
      <x:c r="D58" s="86" t="n">
        <x:v>1</x:v>
      </x:c>
      <x:c r="E58" s="86" t="n">
        <x:v>1</x:v>
      </x:c>
      <x:c r="F58" s="86" t="n">
        <x:v>1</x:v>
      </x:c>
      <x:c r="G58" s="65" t="n">
        <x:v>68</x:v>
      </x:c>
      <x:c r="H58" s="65" t="n">
        <x:v>68</x:v>
      </x:c>
      <x:c r="I58" s="65" t="n">
        <x:v>99</x:v>
      </x:c>
      <x:c r="J58" s="65" t="n">
        <x:v>99</x:v>
      </x:c>
      <x:c r="K58" s="65"/>
      <x:c r="L58" s="65"/>
      <x:c r="M58" s="65"/>
      <x:c r="N58" s="65" t="str">
        <x:f>IF(OR(K58="",L58=""),"",L58-K58-IF(M58="",0,M58))</x:f>
      </x:c>
      <x:c r="O58" s="80" t="str">
        <x:f>IF(AND(K58&lt;&gt;"",L58&lt;&gt;""),"商品级已完整",IF(AND(K58="",L58=""),"商品级未维护","商品级不完整"))</x:f>
        <x:v>商品级未维护</x:v>
      </x:c>
      <x:c r="P58" s="80" t="str">
        <x:v>启用</x:v>
      </x:c>
      <x:c r="Q58" s="62" t="str">
        <x:v>2026-08-17 10:10:24+08:00</x:v>
      </x:c>
    </x:row>
    <x:row r="59">
      <x:c r="A59" s="62" t="str">
        <x:v>PROD-JD-EMG4418767459988</x:v>
      </x:c>
      <x:c r="B59" s="83" t="str">
        <x:v>羊排块(羊寸排)</x:v>
      </x:c>
      <x:c r="C59" s="62" t="str">
        <x:v>羊肉</x:v>
      </x:c>
      <x:c r="D59" s="86" t="n">
        <x:v>1</x:v>
      </x:c>
      <x:c r="E59" s="86" t="n">
        <x:v>1</x:v>
      </x:c>
      <x:c r="F59" s="86" t="n">
        <x:v>1</x:v>
      </x:c>
      <x:c r="G59" s="65" t="n">
        <x:v>86</x:v>
      </x:c>
      <x:c r="H59" s="65" t="n">
        <x:v>86</x:v>
      </x:c>
      <x:c r="I59" s="65" t="n">
        <x:v>126</x:v>
      </x:c>
      <x:c r="J59" s="65" t="n">
        <x:v>126</x:v>
      </x:c>
      <x:c r="K59" s="65"/>
      <x:c r="L59" s="65"/>
      <x:c r="M59" s="65"/>
      <x:c r="N59" s="65" t="str">
        <x:f>IF(OR(K59="",L59=""),"",L59-K59-IF(M59="",0,M59))</x:f>
      </x:c>
      <x:c r="O59" s="80" t="str">
        <x:f>IF(AND(K59&lt;&gt;"",L59&lt;&gt;""),"商品级已完整",IF(AND(K59="",L59=""),"商品级未维护","商品级不完整"))</x:f>
        <x:v>商品级未维护</x:v>
      </x:c>
      <x:c r="P59" s="80" t="str">
        <x:v>启用</x:v>
      </x:c>
      <x:c r="Q59" s="62" t="str">
        <x:v>2026-08-17 10:10:24+08:00</x:v>
      </x:c>
    </x:row>
    <x:row r="60">
      <x:c r="A60" s="62" t="str">
        <x:v>PROD-JD-EMG4418819505546</x:v>
      </x:c>
      <x:c r="B60" s="83" t="str">
        <x:v>羊棒骨</x:v>
      </x:c>
      <x:c r="C60" s="62" t="str">
        <x:v>羊肉</x:v>
      </x:c>
      <x:c r="D60" s="86" t="n">
        <x:v>1</x:v>
      </x:c>
      <x:c r="E60" s="86" t="n">
        <x:v>1</x:v>
      </x:c>
      <x:c r="F60" s="86" t="n">
        <x:v>1</x:v>
      </x:c>
      <x:c r="G60" s="65" t="n">
        <x:v>74</x:v>
      </x:c>
      <x:c r="H60" s="65" t="n">
        <x:v>74</x:v>
      </x:c>
      <x:c r="I60" s="65" t="n">
        <x:v>79</x:v>
      </x:c>
      <x:c r="J60" s="65" t="n">
        <x:v>79</x:v>
      </x:c>
      <x:c r="K60" s="65"/>
      <x:c r="L60" s="65"/>
      <x:c r="M60" s="65"/>
      <x:c r="N60" s="65" t="str">
        <x:f>IF(OR(K60="",L60=""),"",L60-K60-IF(M60="",0,M60))</x:f>
      </x:c>
      <x:c r="O60" s="80" t="str">
        <x:f>IF(AND(K60&lt;&gt;"",L60&lt;&gt;""),"商品级已完整",IF(AND(K60="",L60=""),"商品级未维护","商品级不完整"))</x:f>
        <x:v>商品级未维护</x:v>
      </x:c>
      <x:c r="P60" s="80" t="str">
        <x:v>启用</x:v>
      </x:c>
      <x:c r="Q60" s="62" t="str">
        <x:v>2026-08-17 10:10:24+08:00</x:v>
      </x:c>
    </x:row>
    <x:row r="61">
      <x:c r="A61" s="62" t="str">
        <x:v>PROD-JD-EMG4418767460168</x:v>
      </x:c>
      <x:c r="B61" s="83" t="str">
        <x:v>羊肉块</x:v>
      </x:c>
      <x:c r="C61" s="62" t="str">
        <x:v>羊肉</x:v>
      </x:c>
      <x:c r="D61" s="86" t="n">
        <x:v>1</x:v>
      </x:c>
      <x:c r="E61" s="86" t="n">
        <x:v>1</x:v>
      </x:c>
      <x:c r="F61" s="86" t="n">
        <x:v>1</x:v>
      </x:c>
      <x:c r="G61" s="65" t="n">
        <x:v>116</x:v>
      </x:c>
      <x:c r="H61" s="65" t="n">
        <x:v>116</x:v>
      </x:c>
      <x:c r="I61" s="65" t="n">
        <x:v>158</x:v>
      </x:c>
      <x:c r="J61" s="65" t="n">
        <x:v>158</x:v>
      </x:c>
      <x:c r="K61" s="65"/>
      <x:c r="L61" s="65"/>
      <x:c r="M61" s="65"/>
      <x:c r="N61" s="65" t="str">
        <x:f>IF(OR(K61="",L61=""),"",L61-K61-IF(M61="",0,M61))</x:f>
      </x:c>
      <x:c r="O61" s="80" t="str">
        <x:f>IF(AND(K61&lt;&gt;"",L61&lt;&gt;""),"商品级已完整",IF(AND(K61="",L61=""),"商品级未维护","商品级不完整"))</x:f>
        <x:v>商品级未维护</x:v>
      </x:c>
      <x:c r="P61" s="80" t="str">
        <x:v>启用</x:v>
      </x:c>
      <x:c r="Q61" s="62" t="str">
        <x:v>2026-08-17 10:10:24+08:00</x:v>
      </x:c>
    </x:row>
    <x:row r="62">
      <x:c r="A62" s="62" t="str">
        <x:v>PROD-JD-EMG4418904458684</x:v>
      </x:c>
      <x:c r="B62" s="83" t="str">
        <x:v>羊肉馅</x:v>
      </x:c>
      <x:c r="C62" s="62" t="str">
        <x:v>羊肉</x:v>
      </x:c>
      <x:c r="D62" s="86" t="n">
        <x:v>1</x:v>
      </x:c>
      <x:c r="E62" s="86" t="n">
        <x:v>1</x:v>
      </x:c>
      <x:c r="F62" s="86" t="n">
        <x:v>1</x:v>
      </x:c>
      <x:c r="G62" s="65" t="n">
        <x:v>78</x:v>
      </x:c>
      <x:c r="H62" s="65" t="n">
        <x:v>78</x:v>
      </x:c>
      <x:c r="I62" s="65" t="n">
        <x:v>99</x:v>
      </x:c>
      <x:c r="J62" s="65" t="n">
        <x:v>99</x:v>
      </x:c>
      <x:c r="K62" s="65"/>
      <x:c r="L62" s="65"/>
      <x:c r="M62" s="65"/>
      <x:c r="N62" s="65" t="str">
        <x:f>IF(OR(K62="",L62=""),"",L62-K62-IF(M62="",0,M62))</x:f>
      </x:c>
      <x:c r="O62" s="80" t="str">
        <x:f>IF(AND(K62&lt;&gt;"",L62&lt;&gt;""),"商品级已完整",IF(AND(K62="",L62=""),"商品级未维护","商品级不完整"))</x:f>
        <x:v>商品级未维护</x:v>
      </x:c>
      <x:c r="P62" s="80" t="str">
        <x:v>启用</x:v>
      </x:c>
      <x:c r="Q62" s="62" t="str">
        <x:v>2026-08-17 10:10:24+08:00</x:v>
      </x:c>
    </x:row>
    <x:row r="63">
      <x:c r="A63" s="62" t="str">
        <x:v>PROD-JD-EMG4418737161147</x:v>
      </x:c>
      <x:c r="B63" s="83" t="str">
        <x:v>羊腿小切</x:v>
      </x:c>
      <x:c r="C63" s="62" t="str">
        <x:v>羊肉</x:v>
      </x:c>
      <x:c r="D63" s="86" t="n">
        <x:v>1</x:v>
      </x:c>
      <x:c r="E63" s="86" t="n">
        <x:v>1</x:v>
      </x:c>
      <x:c r="F63" s="86" t="n">
        <x:v>1</x:v>
      </x:c>
      <x:c r="G63" s="65" t="n">
        <x:v>106</x:v>
      </x:c>
      <x:c r="H63" s="65" t="n">
        <x:v>106</x:v>
      </x:c>
      <x:c r="I63" s="65" t="n">
        <x:v>139.5</x:v>
      </x:c>
      <x:c r="J63" s="65" t="n">
        <x:v>139.5</x:v>
      </x:c>
      <x:c r="K63" s="65"/>
      <x:c r="L63" s="65"/>
      <x:c r="M63" s="65"/>
      <x:c r="N63" s="65" t="str">
        <x:f>IF(OR(K63="",L63=""),"",L63-K63-IF(M63="",0,M63))</x:f>
      </x:c>
      <x:c r="O63" s="80" t="str">
        <x:f>IF(AND(K63&lt;&gt;"",L63&lt;&gt;""),"商品级已完整",IF(AND(K63="",L63=""),"商品级未维护","商品级不完整"))</x:f>
        <x:v>商品级未维护</x:v>
      </x:c>
      <x:c r="P63" s="80" t="str">
        <x:v>启用</x:v>
      </x:c>
      <x:c r="Q63" s="62" t="str">
        <x:v>2026-08-17 10:10:24+08:00</x:v>
      </x:c>
    </x:row>
    <x:row r="64">
      <x:c r="A64" s="62" t="str">
        <x:v>PROD-JD-EMG4418691852262</x:v>
      </x:c>
      <x:c r="B64" s="83" t="str">
        <x:v>羊腿肉</x:v>
      </x:c>
      <x:c r="C64" s="62" t="str">
        <x:v>羊肉</x:v>
      </x:c>
      <x:c r="D64" s="86" t="n">
        <x:v>1</x:v>
      </x:c>
      <x:c r="E64" s="86" t="n">
        <x:v>1</x:v>
      </x:c>
      <x:c r="F64" s="86" t="n">
        <x:v>1</x:v>
      </x:c>
      <x:c r="G64" s="65" t="n">
        <x:v>118</x:v>
      </x:c>
      <x:c r="H64" s="65" t="n">
        <x:v>118</x:v>
      </x:c>
      <x:c r="I64" s="65" t="n">
        <x:v>168</x:v>
      </x:c>
      <x:c r="J64" s="65" t="n">
        <x:v>168</x:v>
      </x:c>
      <x:c r="K64" s="65"/>
      <x:c r="L64" s="65"/>
      <x:c r="M64" s="65"/>
      <x:c r="N64" s="65" t="str">
        <x:f>IF(OR(K64="",L64=""),"",L64-K64-IF(M64="",0,M64))</x:f>
      </x:c>
      <x:c r="O64" s="80" t="str">
        <x:f>IF(AND(K64&lt;&gt;"",L64&lt;&gt;""),"商品级已完整",IF(AND(K64="",L64=""),"商品级未维护","商品级不完整"))</x:f>
        <x:v>商品级未维护</x:v>
      </x:c>
      <x:c r="P64" s="80" t="str">
        <x:v>启用</x:v>
      </x:c>
      <x:c r="Q64" s="62" t="str">
        <x:v>2026-08-17 10:10:24+08:00</x:v>
      </x:c>
    </x:row>
    <x:row r="65">
      <x:c r="A65" s="62" t="str">
        <x:v>PROD-JD-EMG4418727170819</x:v>
      </x:c>
      <x:c r="B65" s="83" t="str">
        <x:v>羊蝎子</x:v>
      </x:c>
      <x:c r="C65" s="62" t="str">
        <x:v>羊肉</x:v>
      </x:c>
      <x:c r="D65" s="86" t="n">
        <x:v>1</x:v>
      </x:c>
      <x:c r="E65" s="86" t="n">
        <x:v>1</x:v>
      </x:c>
      <x:c r="F65" s="86" t="n">
        <x:v>1</x:v>
      </x:c>
      <x:c r="G65" s="65" t="n">
        <x:v>68</x:v>
      </x:c>
      <x:c r="H65" s="65" t="n">
        <x:v>68</x:v>
      </x:c>
      <x:c r="I65" s="65" t="n">
        <x:v>78</x:v>
      </x:c>
      <x:c r="J65" s="65" t="n">
        <x:v>78</x:v>
      </x:c>
      <x:c r="K65" s="65"/>
      <x:c r="L65" s="65"/>
      <x:c r="M65" s="65"/>
      <x:c r="N65" s="65" t="str">
        <x:f>IF(OR(K65="",L65=""),"",L65-K65-IF(M65="",0,M65))</x:f>
      </x:c>
      <x:c r="O65" s="80" t="str">
        <x:f>IF(AND(K65&lt;&gt;"",L65&lt;&gt;""),"商品级已完整",IF(AND(K65="",L65=""),"商品级未维护","商品级不完整"))</x:f>
        <x:v>商品级未维护</x:v>
      </x:c>
      <x:c r="P65" s="80" t="str">
        <x:v>启用</x:v>
      </x:c>
      <x:c r="Q65" s="62" t="str">
        <x:v>2026-08-17 10:10:24+08:00</x:v>
      </x:c>
    </x:row>
    <x:row r="66">
      <x:c r="A66" s="62" t="str">
        <x:v>PROD-JD-EMG4418955709745</x:v>
      </x:c>
      <x:c r="B66" s="83" t="str">
        <x:v>海报</x:v>
      </x:c>
      <x:c r="C66" s="62" t="str">
        <x:v>设备物料</x:v>
      </x:c>
      <x:c r="D66" s="86" t="n">
        <x:v>1</x:v>
      </x:c>
      <x:c r="E66" s="86" t="n">
        <x:v>0</x:v>
      </x:c>
      <x:c r="F66" s="86" t="n">
        <x:v>0</x:v>
      </x:c>
      <x:c r="G66" s="65"/>
      <x:c r="H66" s="65"/>
      <x:c r="I66" s="65"/>
      <x:c r="J66" s="65"/>
      <x:c r="K66" s="65"/>
      <x:c r="L66" s="65"/>
      <x:c r="M66" s="65"/>
      <x:c r="N66" s="65" t="str">
        <x:f>IF(OR(K66="",L66=""),"",L66-K66-IF(M66="",0,M66))</x:f>
      </x:c>
      <x:c r="O66" s="80" t="str">
        <x:f>IF(AND(K66&lt;&gt;"",L66&lt;&gt;""),"商品级已完整",IF(AND(K66="",L66=""),"商品级未维护","商品级不完整"))</x:f>
        <x:v>商品级未维护</x:v>
      </x:c>
      <x:c r="P66" s="80" t="str">
        <x:v>启用</x:v>
      </x:c>
      <x:c r="Q66" s="62" t="str">
        <x:v>2026-08-17 10:10:24+08:00</x:v>
      </x:c>
    </x:row>
    <x:row r="67">
      <x:c r="A67" s="63" t="str">
        <x:v>PROD-JD-EMG4419148366261</x:v>
      </x:c>
      <x:c r="B67" s="84" t="str">
        <x:v>烤炉</x:v>
      </x:c>
      <x:c r="C67" s="63" t="str">
        <x:v>设备物料</x:v>
      </x:c>
      <x:c r="D67" s="87" t="n">
        <x:v>1</x:v>
      </x:c>
      <x:c r="E67" s="87" t="n">
        <x:v>0</x:v>
      </x:c>
      <x:c r="F67" s="87" t="n">
        <x:v>0</x:v>
      </x:c>
      <x:c r="G67" s="66"/>
      <x:c r="H67" s="66"/>
      <x:c r="I67" s="66"/>
      <x:c r="J67" s="66"/>
      <x:c r="K67" s="66"/>
      <x:c r="L67" s="66"/>
      <x:c r="M67" s="66"/>
      <x:c r="N67" s="66" t="str">
        <x:f>IF(OR(K67="",L67=""),"",L67-K67-IF(M67="",0,M67))</x:f>
      </x:c>
      <x:c r="O67" s="81" t="str">
        <x:f>IF(AND(K67&lt;&gt;"",L67&lt;&gt;""),"商品级已完整",IF(AND(K67="",L67=""),"商品级未维护","商品级不完整"))</x:f>
        <x:v>商品级未维护</x:v>
      </x:c>
      <x:c r="P67" s="81" t="str">
        <x:v>启用</x:v>
      </x:c>
      <x:c r="Q67" s="63" t="str">
        <x:v>2026-08-17 10:10:24+08:00</x:v>
      </x:c>
    </x:row>
  </x:sheetData>
  <x:mergeCells>
    <x:mergeCell ref="A1:Q1"/>
    <x:mergeCell ref="A2:Q2"/>
  </x:mergeCells>
  <x:conditionalFormatting sqref="O5:O67">
    <x:cfRule type="containsText" dxfId="2" priority="1" operator="containsText" text="未维护"/>
    <x:cfRule type="containsText" dxfId="3" priority="2" operator="containsText" text="已完整"/>
  </x:conditionalFormatting>
  <x:pageMargins left="0.7" right="0.7" top="0.75" bottom="0.75" header="0.3" footer="0.3"/>
  <x:tableParts count="1">
    <x:tablePart xmlns:r="http://schemas.openxmlformats.org/officeDocument/2006/relationships" r:id="Rba50a280381347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6" hidden="0" customWidth="1"/>
    <x:col min="3" max="3" width="11" hidden="0" customWidth="1"/>
    <x:col min="4" max="4" width="14" hidden="0" customWidth="1"/>
    <x:col min="5" max="5" width="10" hidden="0" customWidth="1"/>
    <x:col min="6" max="6" width="10" hidden="0" customWidth="1"/>
    <x:col min="7" max="7" width="12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3" hidden="0" customWidth="1"/>
    <x:col min="15" max="15" width="10" hidden="0" customWidth="1"/>
    <x:col min="16" max="16" width="21" hidden="0" customWidth="1"/>
  </x:cols>
  <x:sheetData>
    <x:row r="1" ht="34" customHeight="1">
      <x:c r="A1" s="4" t="str">
        <x:v>现有礼包成本参考</x:v>
      </x:c>
      <x:c r="B1" s="4" t="str">
        <x:v>现有礼包成本参考</x:v>
      </x:c>
      <x:c r="C1" s="4" t="str">
        <x:v>现有礼包成本参考</x:v>
      </x:c>
      <x:c r="D1" s="4" t="str">
        <x:v>现有礼包成本参考</x:v>
      </x:c>
      <x:c r="E1" s="4" t="str">
        <x:v>现有礼包成本参考</x:v>
      </x:c>
      <x:c r="F1" s="4" t="str">
        <x:v>现有礼包成本参考</x:v>
      </x:c>
      <x:c r="G1" s="4" t="str">
        <x:v>现有礼包成本参考</x:v>
      </x:c>
      <x:c r="H1" s="4" t="str">
        <x:v>现有礼包成本参考</x:v>
      </x:c>
      <x:c r="I1" s="4" t="str">
        <x:v>现有礼包成本参考</x:v>
      </x:c>
      <x:c r="J1" s="4" t="str">
        <x:v>现有礼包成本参考</x:v>
      </x:c>
      <x:c r="K1" s="4" t="str">
        <x:v>现有礼包成本参考</x:v>
      </x:c>
      <x:c r="L1" s="4" t="str">
        <x:v>现有礼包成本参考</x:v>
      </x:c>
      <x:c r="M1" s="4" t="str">
        <x:v>现有礼包成本参考</x:v>
      </x:c>
      <x:c r="N1" s="4" t="str">
        <x:v>现有礼包成本参考</x:v>
      </x:c>
      <x:c r="O1" s="4" t="str">
        <x:v>现有礼包成本参考</x:v>
      </x:c>
      <x:c r="P1" s="4" t="str">
        <x:v>现有礼包成本参考</x:v>
      </x:c>
    </x:row>
    <x:row r="2" ht="30" customHeight="1">
      <x:c r="A2" s="9" t="str">
        <x:v>仅作下一步配包参考。存在缺价组件时，“已知小计”不是完整礼包成本。</x:v>
      </x:c>
      <x:c r="B2" s="9" t="str">
        <x:v>仅作下一步配包参考。存在缺价组件时，“已知小计”不是完整礼包成本。</x:v>
      </x:c>
      <x:c r="C2" s="9" t="str">
        <x:v>仅作下一步配包参考。存在缺价组件时，“已知小计”不是完整礼包成本。</x:v>
      </x:c>
      <x:c r="D2" s="9" t="str">
        <x:v>仅作下一步配包参考。存在缺价组件时，“已知小计”不是完整礼包成本。</x:v>
      </x:c>
      <x:c r="E2" s="9" t="str">
        <x:v>仅作下一步配包参考。存在缺价组件时，“已知小计”不是完整礼包成本。</x:v>
      </x:c>
      <x:c r="F2" s="9" t="str">
        <x:v>仅作下一步配包参考。存在缺价组件时，“已知小计”不是完整礼包成本。</x:v>
      </x:c>
      <x:c r="G2" s="9" t="str">
        <x:v>仅作下一步配包参考。存在缺价组件时，“已知小计”不是完整礼包成本。</x:v>
      </x:c>
      <x:c r="H2" s="9" t="str">
        <x:v>仅作下一步配包参考。存在缺价组件时，“已知小计”不是完整礼包成本。</x:v>
      </x:c>
      <x:c r="I2" s="9" t="str">
        <x:v>仅作下一步配包参考。存在缺价组件时，“已知小计”不是完整礼包成本。</x:v>
      </x:c>
      <x:c r="J2" s="9" t="str">
        <x:v>仅作下一步配包参考。存在缺价组件时，“已知小计”不是完整礼包成本。</x:v>
      </x:c>
      <x:c r="K2" s="9" t="str">
        <x:v>仅作下一步配包参考。存在缺价组件时，“已知小计”不是完整礼包成本。</x:v>
      </x:c>
      <x:c r="L2" s="9" t="str">
        <x:v>仅作下一步配包参考。存在缺价组件时，“已知小计”不是完整礼包成本。</x:v>
      </x:c>
      <x:c r="M2" s="9" t="str">
        <x:v>仅作下一步配包参考。存在缺价组件时，“已知小计”不是完整礼包成本。</x:v>
      </x:c>
      <x:c r="N2" s="9" t="str">
        <x:v>仅作下一步配包参考。存在缺价组件时，“已知小计”不是完整礼包成本。</x:v>
      </x:c>
      <x:c r="O2" s="9" t="str">
        <x:v>仅作下一步配包参考。存在缺价组件时，“已知小计”不是完整礼包成本。</x:v>
      </x:c>
      <x:c r="P2" s="9" t="str">
        <x:v>仅作下一步配包参考。存在缺价组件时，“已知小计”不是完整礼包成本。</x:v>
      </x:c>
    </x:row>
    <x:row r="4" ht="30" customHeight="1">
      <x:c r="A4" s="56" t="str">
        <x:v>礼包编码</x:v>
      </x:c>
      <x:c r="B4" s="56" t="str">
        <x:v>礼包名称</x:v>
      </x:c>
      <x:c r="C4" s="56" t="str">
        <x:v>分类</x:v>
      </x:c>
      <x:c r="D4" s="56" t="str">
        <x:v>履约方</x:v>
      </x:c>
      <x:c r="E4" s="56" t="str">
        <x:v>状态</x:v>
      </x:c>
      <x:c r="F4" s="56" t="str">
        <x:v>组件行数</x:v>
      </x:c>
      <x:c r="G4" s="56" t="str">
        <x:v>组件总件数</x:v>
      </x:c>
      <x:c r="H4" s="56" t="str">
        <x:v>缺进货价组件行</x:v>
      </x:c>
      <x:c r="I4" s="56" t="str">
        <x:v>核算状态</x:v>
      </x:c>
      <x:c r="J4" s="56" t="str">
        <x:v>已知进货价小计</x:v>
      </x:c>
      <x:c r="K4" s="56" t="str">
        <x:v>完整进货成本</x:v>
      </x:c>
      <x:c r="L4" s="56" t="str">
        <x:v>已知零售价小计</x:v>
      </x:c>
      <x:c r="M4" s="56" t="str">
        <x:v>完整零售价合计</x:v>
      </x:c>
      <x:c r="N4" s="56" t="str">
        <x:v>结算成本</x:v>
      </x:c>
      <x:c r="O4" s="56" t="str">
        <x:v>税率</x:v>
      </x:c>
      <x:c r="P4" s="56" t="str">
        <x:v>礼包更新时间</x:v>
      </x:c>
    </x:row>
    <x:row r="5">
      <x:c r="A5" s="61" t="str">
        <x:v>BND-WQ-P26011900044</x:v>
      </x:c>
      <x:c r="B5" s="82" t="str">
        <x:v>子牧原切羊肉礼包6300g（BJ）</x:v>
      </x:c>
      <x:c r="C5" s="61" t="str">
        <x:v>未分类</x:v>
      </x:c>
      <x:c r="D5" s="61" t="str">
        <x:v>京东云仓</x:v>
      </x:c>
      <x:c r="E5" s="61" t="str">
        <x:v>ACTIVE</x:v>
      </x:c>
      <x:c r="F5" s="61" t="n">
        <x:v>7</x:v>
      </x:c>
      <x:c r="G5" s="88" t="n">
        <x:v>13</x:v>
      </x:c>
      <x:c r="H5" s="88" t="n">
        <x:v>1</x:v>
      </x:c>
      <x:c r="I5" s="79" t="str">
        <x:f>IF(H5=0,"可完整核算","存在价格缺口")</x:f>
        <x:v>存在价格缺口</x:v>
      </x:c>
      <x:c r="J5" s="64" t="n">
        <x:v>870</x:v>
      </x:c>
      <x:c r="K5" s="64" t="str">
        <x:f>IF(H5=0,J5,"")</x:f>
      </x:c>
      <x:c r="L5" s="64" t="n">
        <x:v>1202</x:v>
      </x:c>
      <x:c r="M5" s="64" t="str">
        <x:f>IF(H5=0,L5,"")</x:f>
      </x:c>
      <x:c r="N5" s="64"/>
      <x:c r="O5" s="91"/>
      <x:c r="P5" s="61" t="str">
        <x:v>2026-08-20 14:07:24+08:00</x:v>
      </x:c>
    </x:row>
    <x:row r="6">
      <x:c r="A6" s="62" t="str">
        <x:v>BND-WQ-P26012100060</x:v>
      </x:c>
      <x:c r="B6" s="83" t="str">
        <x:v>精选内蒙原切牛羊肉大礼包3100g（BJ）</x:v>
      </x:c>
      <x:c r="C6" s="62" t="str">
        <x:v>未分类</x:v>
      </x:c>
      <x:c r="D6" s="62" t="str">
        <x:v>京东云仓</x:v>
      </x:c>
      <x:c r="E6" s="62" t="str">
        <x:v>ACTIVE</x:v>
      </x:c>
      <x:c r="F6" s="62" t="n">
        <x:v>7</x:v>
      </x:c>
      <x:c r="G6" s="89" t="n">
        <x:v>7</x:v>
      </x:c>
      <x:c r="H6" s="89" t="n">
        <x:v>1</x:v>
      </x:c>
      <x:c r="I6" s="80" t="str">
        <x:f>IF(H6=0,"可完整核算","存在价格缺口")</x:f>
        <x:v>存在价格缺口</x:v>
      </x:c>
      <x:c r="J6" s="65" t="n">
        <x:v>563</x:v>
      </x:c>
      <x:c r="K6" s="65" t="str">
        <x:f>IF(H6=0,J6,"")</x:f>
      </x:c>
      <x:c r="L6" s="65" t="n">
        <x:v>733</x:v>
      </x:c>
      <x:c r="M6" s="65" t="str">
        <x:f>IF(H6=0,L6,"")</x:f>
      </x:c>
      <x:c r="N6" s="65"/>
      <x:c r="O6" s="92"/>
      <x:c r="P6" s="62" t="str">
        <x:v>2026-08-20 14:07:24+08:00</x:v>
      </x:c>
    </x:row>
    <x:row r="7">
      <x:c r="A7" s="62" t="str">
        <x:v>BUNDLE-9250418000038</x:v>
      </x:c>
      <x:c r="B7" s="83" t="str">
        <x:v>卓宸 牛羊肉礼包5300g    (BJ)</x:v>
      </x:c>
      <x:c r="C7" s="62" t="str">
        <x:v>未分类</x:v>
      </x:c>
      <x:c r="D7" s="62" t="str">
        <x:v>京东云仓</x:v>
      </x:c>
      <x:c r="E7" s="62" t="str">
        <x:v>ACTIVE</x:v>
      </x:c>
      <x:c r="F7" s="62" t="n">
        <x:v>10</x:v>
      </x:c>
      <x:c r="G7" s="89" t="n">
        <x:v>11</x:v>
      </x:c>
      <x:c r="H7" s="89" t="n">
        <x:v>1</x:v>
      </x:c>
      <x:c r="I7" s="80" t="str">
        <x:f>IF(H7=0,"可完整核算","存在价格缺口")</x:f>
        <x:v>存在价格缺口</x:v>
      </x:c>
      <x:c r="J7" s="65" t="n">
        <x:v>932</x:v>
      </x:c>
      <x:c r="K7" s="65" t="str">
        <x:f>IF(H7=0,J7,"")</x:f>
      </x:c>
      <x:c r="L7" s="65" t="n">
        <x:v>1202</x:v>
      </x:c>
      <x:c r="M7" s="65" t="str">
        <x:f>IF(H7=0,L7,"")</x:f>
      </x:c>
      <x:c r="N7" s="65"/>
      <x:c r="O7" s="92"/>
      <x:c r="P7" s="62" t="str">
        <x:v>2026-08-21 19:19:41+08:00</x:v>
      </x:c>
    </x:row>
    <x:row r="8">
      <x:c r="A8" s="62" t="str">
        <x:v>BUNDLE-9250421000012</x:v>
      </x:c>
      <x:c r="B8" s="83" t="str">
        <x:v>牛羊礼包5800g (BJ)</x:v>
      </x:c>
      <x:c r="C8" s="62" t="str">
        <x:v>未分类</x:v>
      </x:c>
      <x:c r="D8" s="62" t="str">
        <x:v>京东云仓</x:v>
      </x:c>
      <x:c r="E8" s="62" t="str">
        <x:v>ACTIVE</x:v>
      </x:c>
      <x:c r="F8" s="62" t="n">
        <x:v>10</x:v>
      </x:c>
      <x:c r="G8" s="89" t="n">
        <x:v>14</x:v>
      </x:c>
      <x:c r="H8" s="89" t="n">
        <x:v>2</x:v>
      </x:c>
      <x:c r="I8" s="80" t="str">
        <x:f>IF(H8=0,"可完整核算","存在价格缺口")</x:f>
        <x:v>存在价格缺口</x:v>
      </x:c>
      <x:c r="J8" s="65" t="n">
        <x:v>823</x:v>
      </x:c>
      <x:c r="K8" s="65" t="str">
        <x:f>IF(H8=0,J8,"")</x:f>
      </x:c>
      <x:c r="L8" s="65" t="n">
        <x:v>1039</x:v>
      </x:c>
      <x:c r="M8" s="65" t="str">
        <x:f>IF(H8=0,L8,"")</x:f>
      </x:c>
      <x:c r="N8" s="65"/>
      <x:c r="O8" s="92"/>
      <x:c r="P8" s="62" t="str">
        <x:v>2026-08-21 19:19:41+08:00</x:v>
      </x:c>
    </x:row>
    <x:row r="9">
      <x:c r="A9" s="62" t="str">
        <x:v>BUNDLE-9250424000055</x:v>
      </x:c>
      <x:c r="B9" s="83" t="str">
        <x:v>牛肉礼包6200g（BJ）</x:v>
      </x:c>
      <x:c r="C9" s="62" t="str">
        <x:v>未分类</x:v>
      </x:c>
      <x:c r="D9" s="62" t="str">
        <x:v>京东云仓</x:v>
      </x:c>
      <x:c r="E9" s="62" t="str">
        <x:v>ACTIVE</x:v>
      </x:c>
      <x:c r="F9" s="62" t="n">
        <x:v>7</x:v>
      </x:c>
      <x:c r="G9" s="89" t="n">
        <x:v>14</x:v>
      </x:c>
      <x:c r="H9" s="89" t="n">
        <x:v>3</x:v>
      </x:c>
      <x:c r="I9" s="80" t="str">
        <x:f>IF(H9=0,"可完整核算","存在价格缺口")</x:f>
        <x:v>存在价格缺口</x:v>
      </x:c>
      <x:c r="J9" s="65" t="n">
        <x:v>816</x:v>
      </x:c>
      <x:c r="K9" s="65" t="str">
        <x:f>IF(H9=0,J9,"")</x:f>
      </x:c>
      <x:c r="L9" s="65" t="n">
        <x:v>926</x:v>
      </x:c>
      <x:c r="M9" s="65" t="str">
        <x:f>IF(H9=0,L9,"")</x:f>
      </x:c>
      <x:c r="N9" s="65"/>
      <x:c r="O9" s="92"/>
      <x:c r="P9" s="62" t="str">
        <x:v>2026-08-21 19:19:41+08:00</x:v>
      </x:c>
    </x:row>
    <x:row r="10">
      <x:c r="A10" s="62" t="str">
        <x:v>BUNDLE-9250425000073</x:v>
      </x:c>
      <x:c r="B10" s="83" t="str">
        <x:v>牛肉大礼包6200g(BJ)</x:v>
      </x:c>
      <x:c r="C10" s="62" t="str">
        <x:v>未分类</x:v>
      </x:c>
      <x:c r="D10" s="62" t="str">
        <x:v>京东云仓</x:v>
      </x:c>
      <x:c r="E10" s="62" t="str">
        <x:v>ACTIVE</x:v>
      </x:c>
      <x:c r="F10" s="62" t="n">
        <x:v>7</x:v>
      </x:c>
      <x:c r="G10" s="89" t="n">
        <x:v>14</x:v>
      </x:c>
      <x:c r="H10" s="89" t="n">
        <x:v>3</x:v>
      </x:c>
      <x:c r="I10" s="80" t="str">
        <x:f>IF(H10=0,"可完整核算","存在价格缺口")</x:f>
        <x:v>存在价格缺口</x:v>
      </x:c>
      <x:c r="J10" s="65" t="n">
        <x:v>816</x:v>
      </x:c>
      <x:c r="K10" s="65" t="str">
        <x:f>IF(H10=0,J10,"")</x:f>
      </x:c>
      <x:c r="L10" s="65" t="n">
        <x:v>926</x:v>
      </x:c>
      <x:c r="M10" s="65" t="str">
        <x:f>IF(H10=0,L10,"")</x:f>
      </x:c>
      <x:c r="N10" s="65"/>
      <x:c r="O10" s="92"/>
      <x:c r="P10" s="62" t="str">
        <x:v>2026-08-21 19:19:40+08:00</x:v>
      </x:c>
    </x:row>
    <x:row r="11">
      <x:c r="A11" s="62" t="str">
        <x:v>BUNDLE-9250522000028</x:v>
      </x:c>
      <x:c r="B11" s="83" t="str">
        <x:v>牛肉大礼包5200g （BJ）</x:v>
      </x:c>
      <x:c r="C11" s="62" t="str">
        <x:v>未分类</x:v>
      </x:c>
      <x:c r="D11" s="62" t="str">
        <x:v>京东云仓</x:v>
      </x:c>
      <x:c r="E11" s="62" t="str">
        <x:v>ACTIVE</x:v>
      </x:c>
      <x:c r="F11" s="62" t="n">
        <x:v>6</x:v>
      </x:c>
      <x:c r="G11" s="89" t="n">
        <x:v>11</x:v>
      </x:c>
      <x:c r="H11" s="89" t="n">
        <x:v>1</x:v>
      </x:c>
      <x:c r="I11" s="80" t="str">
        <x:f>IF(H11=0,"可完整核算","存在价格缺口")</x:f>
        <x:v>存在价格缺口</x:v>
      </x:c>
      <x:c r="J11" s="65" t="n">
        <x:v>942</x:v>
      </x:c>
      <x:c r="K11" s="65" t="str">
        <x:f>IF(H11=0,J11,"")</x:f>
      </x:c>
      <x:c r="L11" s="65" t="n">
        <x:v>1133</x:v>
      </x:c>
      <x:c r="M11" s="65" t="str">
        <x:f>IF(H11=0,L11,"")</x:f>
      </x:c>
      <x:c r="N11" s="65"/>
      <x:c r="O11" s="92"/>
      <x:c r="P11" s="62" t="str">
        <x:v>2026-08-21 19:19:40+08:00</x:v>
      </x:c>
    </x:row>
    <x:row r="12">
      <x:c r="A12" s="62" t="str">
        <x:v>BUNDLE-9250909000005</x:v>
      </x:c>
      <x:c r="B12" s="83" t="str">
        <x:v>牛腩块羊蝎子大礼包1900g</x:v>
      </x:c>
      <x:c r="C12" s="62" t="str">
        <x:v>未分类</x:v>
      </x:c>
      <x:c r="D12" s="62" t="str">
        <x:v>京东云仓</x:v>
      </x:c>
      <x:c r="E12" s="62" t="str">
        <x:v>ACTIVE</x:v>
      </x:c>
      <x:c r="F12" s="62" t="n">
        <x:v>3</x:v>
      </x:c>
      <x:c r="G12" s="89" t="n">
        <x:v>4</x:v>
      </x:c>
      <x:c r="H12" s="89" t="n">
        <x:v>1</x:v>
      </x:c>
      <x:c r="I12" s="80" t="str">
        <x:f>IF(H12=0,"可完整核算","存在价格缺口")</x:f>
        <x:v>存在价格缺口</x:v>
      </x:c>
      <x:c r="J12" s="65" t="n">
        <x:v>232</x:v>
      </x:c>
      <x:c r="K12" s="65" t="str">
        <x:f>IF(H12=0,J12,"")</x:f>
      </x:c>
      <x:c r="L12" s="65" t="n">
        <x:v>264</x:v>
      </x:c>
      <x:c r="M12" s="65" t="str">
        <x:f>IF(H12=0,L12,"")</x:f>
      </x:c>
      <x:c r="N12" s="65"/>
      <x:c r="O12" s="92"/>
      <x:c r="P12" s="62" t="str">
        <x:v>2026-08-21 19:19:42+08:00</x:v>
      </x:c>
    </x:row>
    <x:row r="13">
      <x:c r="A13" s="62" t="str">
        <x:v>BUNDLE-9250909000006</x:v>
      </x:c>
      <x:c r="B13" s="83" t="str">
        <x:v>牛羊大礼包2800g（BJ）</x:v>
      </x:c>
      <x:c r="C13" s="62" t="str">
        <x:v>未分类</x:v>
      </x:c>
      <x:c r="D13" s="62" t="str">
        <x:v>京东云仓</x:v>
      </x:c>
      <x:c r="E13" s="62" t="str">
        <x:v>ACTIVE</x:v>
      </x:c>
      <x:c r="F13" s="62" t="n">
        <x:v>5</x:v>
      </x:c>
      <x:c r="G13" s="89" t="n">
        <x:v>6</x:v>
      </x:c>
      <x:c r="H13" s="89" t="n">
        <x:v>0</x:v>
      </x:c>
      <x:c r="I13" s="80" t="str">
        <x:f>IF(H13=0,"可完整核算","存在价格缺口")</x:f>
        <x:v>可完整核算</x:v>
      </x:c>
      <x:c r="J13" s="65" t="n">
        <x:v>548</x:v>
      </x:c>
      <x:c r="K13" s="65" t="n">
        <x:f>IF(H13=0,J13,"")</x:f>
        <x:v>548</x:v>
      </x:c>
      <x:c r="L13" s="65" t="n">
        <x:v>687.5</x:v>
      </x:c>
      <x:c r="M13" s="65" t="n">
        <x:f>IF(H13=0,L13,"")</x:f>
        <x:v>687.5</x:v>
      </x:c>
      <x:c r="N13" s="65"/>
      <x:c r="O13" s="92"/>
      <x:c r="P13" s="62" t="str">
        <x:v>2026-08-21 19:19:42+08:00</x:v>
      </x:c>
    </x:row>
    <x:row r="14">
      <x:c r="A14" s="62" t="str">
        <x:v>BUNDLE-9250909000007</x:v>
      </x:c>
      <x:c r="B14" s="83" t="str">
        <x:v>牛羊肉大礼包3900g（BJ）</x:v>
      </x:c>
      <x:c r="C14" s="62" t="str">
        <x:v>未分类</x:v>
      </x:c>
      <x:c r="D14" s="62" t="str">
        <x:v>京东云仓</x:v>
      </x:c>
      <x:c r="E14" s="62" t="str">
        <x:v>ACTIVE</x:v>
      </x:c>
      <x:c r="F14" s="62" t="n">
        <x:v>8</x:v>
      </x:c>
      <x:c r="G14" s="89" t="n">
        <x:v>8</x:v>
      </x:c>
      <x:c r="H14" s="89" t="n">
        <x:v>0</x:v>
      </x:c>
      <x:c r="I14" s="80" t="str">
        <x:f>IF(H14=0,"可完整核算","存在价格缺口")</x:f>
        <x:v>可完整核算</x:v>
      </x:c>
      <x:c r="J14" s="65" t="n">
        <x:v>818</x:v>
      </x:c>
      <x:c r="K14" s="65" t="n">
        <x:f>IF(H14=0,J14,"")</x:f>
        <x:v>818</x:v>
      </x:c>
      <x:c r="L14" s="65" t="n">
        <x:v>1005.5</x:v>
      </x:c>
      <x:c r="M14" s="65" t="n">
        <x:f>IF(H14=0,L14,"")</x:f>
        <x:v>1005.5</x:v>
      </x:c>
      <x:c r="N14" s="65"/>
      <x:c r="O14" s="92"/>
      <x:c r="P14" s="62" t="str">
        <x:v>2026-08-21 19:19:43+08:00</x:v>
      </x:c>
    </x:row>
    <x:row r="15">
      <x:c r="A15" s="62" t="str">
        <x:v>BUNDLE-9250917000026</x:v>
      </x:c>
      <x:c r="B15" s="83" t="str">
        <x:v>子牧原切牛羊肉大礼包3050g（BJ）</x:v>
      </x:c>
      <x:c r="C15" s="62" t="str">
        <x:v>未分类</x:v>
      </x:c>
      <x:c r="D15" s="62" t="str">
        <x:v>京东云仓</x:v>
      </x:c>
      <x:c r="E15" s="62" t="str">
        <x:v>ACTIVE</x:v>
      </x:c>
      <x:c r="F15" s="62" t="n">
        <x:v>5</x:v>
      </x:c>
      <x:c r="G15" s="89" t="n">
        <x:v>8</x:v>
      </x:c>
      <x:c r="H15" s="89" t="n">
        <x:v>0</x:v>
      </x:c>
      <x:c r="I15" s="80" t="str">
        <x:f>IF(H15=0,"可完整核算","存在价格缺口")</x:f>
        <x:v>可完整核算</x:v>
      </x:c>
      <x:c r="J15" s="65" t="n">
        <x:v>758</x:v>
      </x:c>
      <x:c r="K15" s="65" t="n">
        <x:f>IF(H15=0,J15,"")</x:f>
        <x:v>758</x:v>
      </x:c>
      <x:c r="L15" s="65" t="n">
        <x:v>948</x:v>
      </x:c>
      <x:c r="M15" s="65" t="n">
        <x:f>IF(H15=0,L15,"")</x:f>
        <x:v>948</x:v>
      </x:c>
      <x:c r="N15" s="65"/>
      <x:c r="O15" s="92"/>
      <x:c r="P15" s="62" t="str">
        <x:v>2026-08-21 19:19:43+08:00</x:v>
      </x:c>
    </x:row>
    <x:row r="16">
      <x:c r="A16" s="62" t="str">
        <x:v>BUNDLE-9250917000027</x:v>
      </x:c>
      <x:c r="B16" s="83" t="str">
        <x:v>子牧原切精品牛羊肉大礼包9900g（BJ</x:v>
      </x:c>
      <x:c r="C16" s="62" t="str">
        <x:v>未分类</x:v>
      </x:c>
      <x:c r="D16" s="62" t="str">
        <x:v>京东云仓</x:v>
      </x:c>
      <x:c r="E16" s="62" t="str">
        <x:v>ACTIVE</x:v>
      </x:c>
      <x:c r="F16" s="62" t="n">
        <x:v>12</x:v>
      </x:c>
      <x:c r="G16" s="89" t="n">
        <x:v>19</x:v>
      </x:c>
      <x:c r="H16" s="89" t="n">
        <x:v>2</x:v>
      </x:c>
      <x:c r="I16" s="80" t="str">
        <x:f>IF(H16=0,"可完整核算","存在价格缺口")</x:f>
        <x:v>存在价格缺口</x:v>
      </x:c>
      <x:c r="J16" s="65" t="n">
        <x:v>1397</x:v>
      </x:c>
      <x:c r="K16" s="65" t="str">
        <x:f>IF(H16=0,J16,"")</x:f>
      </x:c>
      <x:c r="L16" s="65" t="n">
        <x:v>1717</x:v>
      </x:c>
      <x:c r="M16" s="65" t="str">
        <x:f>IF(H16=0,L16,"")</x:f>
      </x:c>
      <x:c r="N16" s="65"/>
      <x:c r="O16" s="92"/>
      <x:c r="P16" s="62" t="str">
        <x:v>2026-08-21 19:19:46+08:00</x:v>
      </x:c>
    </x:row>
    <x:row r="17">
      <x:c r="A17" s="62" t="str">
        <x:v>BUNDLE-9250923000026</x:v>
      </x:c>
      <x:c r="B17" s="83" t="str">
        <x:v>子牧牛肉豪华大礼包6000g（BJ）</x:v>
      </x:c>
      <x:c r="C17" s="62" t="str">
        <x:v>未分类</x:v>
      </x:c>
      <x:c r="D17" s="62" t="str">
        <x:v>京东云仓</x:v>
      </x:c>
      <x:c r="E17" s="62" t="str">
        <x:v>ACTIVE</x:v>
      </x:c>
      <x:c r="F17" s="62" t="n">
        <x:v>7</x:v>
      </x:c>
      <x:c r="G17" s="89" t="n">
        <x:v>13</x:v>
      </x:c>
      <x:c r="H17" s="89" t="n">
        <x:v>2</x:v>
      </x:c>
      <x:c r="I17" s="80" t="str">
        <x:f>IF(H17=0,"可完整核算","存在价格缺口")</x:f>
        <x:v>存在价格缺口</x:v>
      </x:c>
      <x:c r="J17" s="65" t="n">
        <x:v>892</x:v>
      </x:c>
      <x:c r="K17" s="65" t="str">
        <x:f>IF(H17=0,J17,"")</x:f>
      </x:c>
      <x:c r="L17" s="65" t="n">
        <x:v>1065</x:v>
      </x:c>
      <x:c r="M17" s="65" t="str">
        <x:f>IF(H17=0,L17,"")</x:f>
      </x:c>
      <x:c r="N17" s="65"/>
      <x:c r="O17" s="92"/>
      <x:c r="P17" s="62" t="str">
        <x:v>2026-08-21 19:19:44+08:00</x:v>
      </x:c>
    </x:row>
    <x:row r="18">
      <x:c r="A18" s="62" t="str">
        <x:v>BUNDLE-9250923000029</x:v>
      </x:c>
      <x:c r="B18" s="83" t="str">
        <x:v>子牧原切牛羊肉礼包3550g（BJ）</x:v>
      </x:c>
      <x:c r="C18" s="62" t="str">
        <x:v>未分类</x:v>
      </x:c>
      <x:c r="D18" s="62" t="str">
        <x:v>京东云仓</x:v>
      </x:c>
      <x:c r="E18" s="62" t="str">
        <x:v>ACTIVE</x:v>
      </x:c>
      <x:c r="F18" s="62" t="n">
        <x:v>5</x:v>
      </x:c>
      <x:c r="G18" s="89" t="n">
        <x:v>9</x:v>
      </x:c>
      <x:c r="H18" s="89" t="n">
        <x:v>0</x:v>
      </x:c>
      <x:c r="I18" s="80" t="str">
        <x:f>IF(H18=0,"可完整核算","存在价格缺口")</x:f>
        <x:v>可完整核算</x:v>
      </x:c>
      <x:c r="J18" s="65" t="n">
        <x:v>854</x:v>
      </x:c>
      <x:c r="K18" s="65" t="n">
        <x:f>IF(H18=0,J18,"")</x:f>
        <x:v>854</x:v>
      </x:c>
      <x:c r="L18" s="65" t="n">
        <x:v>1056</x:v>
      </x:c>
      <x:c r="M18" s="65" t="n">
        <x:f>IF(H18=0,L18,"")</x:f>
        <x:v>1056</x:v>
      </x:c>
      <x:c r="N18" s="65"/>
      <x:c r="O18" s="92"/>
      <x:c r="P18" s="62" t="str">
        <x:v>2026-08-21 19:19:44+08:00</x:v>
      </x:c>
    </x:row>
    <x:row r="19">
      <x:c r="A19" s="62" t="str">
        <x:v>BUNDLE-9260129000001</x:v>
      </x:c>
      <x:c r="B19" s="83" t="str">
        <x:v>子牧羊肉组合4900g</x:v>
      </x:c>
      <x:c r="C19" s="62" t="str">
        <x:v>未分类</x:v>
      </x:c>
      <x:c r="D19" s="62" t="str">
        <x:v>京东云仓</x:v>
      </x:c>
      <x:c r="E19" s="62" t="str">
        <x:v>ACTIVE</x:v>
      </x:c>
      <x:c r="F19" s="62" t="n">
        <x:v>6</x:v>
      </x:c>
      <x:c r="G19" s="89" t="n">
        <x:v>10</x:v>
      </x:c>
      <x:c r="H19" s="89" t="n">
        <x:v>1</x:v>
      </x:c>
      <x:c r="I19" s="80" t="str">
        <x:f>IF(H19=0,"可完整核算","存在价格缺口")</x:f>
        <x:v>存在价格缺口</x:v>
      </x:c>
      <x:c r="J19" s="65" t="n">
        <x:v>902</x:v>
      </x:c>
      <x:c r="K19" s="65" t="str">
        <x:f>IF(H19=0,J19,"")</x:f>
      </x:c>
      <x:c r="L19" s="65" t="n">
        <x:v>1213</x:v>
      </x:c>
      <x:c r="M19" s="65" t="str">
        <x:f>IF(H19=0,L19,"")</x:f>
      </x:c>
      <x:c r="N19" s="65"/>
      <x:c r="O19" s="92"/>
      <x:c r="P19" s="62" t="str">
        <x:v>2026-08-21 19:19:44+08:00</x:v>
      </x:c>
    </x:row>
    <x:row r="20">
      <x:c r="A20" s="62" t="str">
        <x:v>BUNDLE-9260129000003</x:v>
      </x:c>
      <x:c r="B20" s="83" t="str">
        <x:v>子牧西蒙塔尔牛肉/火锅组合5500g</x:v>
      </x:c>
      <x:c r="C20" s="62" t="str">
        <x:v>未分类</x:v>
      </x:c>
      <x:c r="D20" s="62" t="str">
        <x:v>京东云仓</x:v>
      </x:c>
      <x:c r="E20" s="62" t="str">
        <x:v>ACTIVE</x:v>
      </x:c>
      <x:c r="F20" s="62" t="n">
        <x:v>6</x:v>
      </x:c>
      <x:c r="G20" s="89" t="n">
        <x:v>9</x:v>
      </x:c>
      <x:c r="H20" s="89" t="n">
        <x:v>0</x:v>
      </x:c>
      <x:c r="I20" s="80" t="str">
        <x:f>IF(H20=0,"可完整核算","存在价格缺口")</x:f>
        <x:v>可完整核算</x:v>
      </x:c>
      <x:c r="J20" s="65" t="n">
        <x:v>935</x:v>
      </x:c>
      <x:c r="K20" s="65" t="n">
        <x:f>IF(H20=0,J20,"")</x:f>
        <x:v>935</x:v>
      </x:c>
      <x:c r="L20" s="65" t="n">
        <x:v>1136.25</x:v>
      </x:c>
      <x:c r="M20" s="65" t="n">
        <x:f>IF(H20=0,L20,"")</x:f>
        <x:v>1136.25</x:v>
      </x:c>
      <x:c r="N20" s="65"/>
      <x:c r="O20" s="92"/>
      <x:c r="P20" s="62" t="str">
        <x:v>2026-08-21 19:19:45+08:00</x:v>
      </x:c>
    </x:row>
    <x:row r="21">
      <x:c r="A21" s="62" t="str">
        <x:v>BUNDLE-9260129000006</x:v>
      </x:c>
      <x:c r="B21" s="83" t="str">
        <x:v>原切精品羊肉组合7800g</x:v>
      </x:c>
      <x:c r="C21" s="62" t="str">
        <x:v>未分类</x:v>
      </x:c>
      <x:c r="D21" s="62" t="str">
        <x:v>京东云仓</x:v>
      </x:c>
      <x:c r="E21" s="62" t="str">
        <x:v>ACTIVE</x:v>
      </x:c>
      <x:c r="F21" s="62" t="n">
        <x:v>7</x:v>
      </x:c>
      <x:c r="G21" s="89" t="n">
        <x:v>16</x:v>
      </x:c>
      <x:c r="H21" s="89" t="n">
        <x:v>1</x:v>
      </x:c>
      <x:c r="I21" s="80" t="str">
        <x:f>IF(H21=0,"可完整核算","存在价格缺口")</x:f>
        <x:v>存在价格缺口</x:v>
      </x:c>
      <x:c r="J21" s="65" t="n">
        <x:v>1364</x:v>
      </x:c>
      <x:c r="K21" s="65" t="str">
        <x:f>IF(H21=0,J21,"")</x:f>
      </x:c>
      <x:c r="L21" s="65" t="n">
        <x:v>1927</x:v>
      </x:c>
      <x:c r="M21" s="65" t="str">
        <x:f>IF(H21=0,L21,"")</x:f>
      </x:c>
      <x:c r="N21" s="65"/>
      <x:c r="O21" s="92"/>
      <x:c r="P21" s="62" t="str">
        <x:v>2026-08-21 19:19:45+08:00</x:v>
      </x:c>
    </x:row>
    <x:row r="22">
      <x:c r="A22" s="62" t="str">
        <x:v>BUNDLE-9260129000007</x:v>
      </x:c>
      <x:c r="B22" s="83" t="str">
        <x:v>子牧西蒙塔尔牛肉/火锅组合9400g</x:v>
      </x:c>
      <x:c r="C22" s="62" t="str">
        <x:v>未分类</x:v>
      </x:c>
      <x:c r="D22" s="62" t="str">
        <x:v>京东云仓</x:v>
      </x:c>
      <x:c r="E22" s="62" t="str">
        <x:v>ACTIVE</x:v>
      </x:c>
      <x:c r="F22" s="62" t="n">
        <x:v>7</x:v>
      </x:c>
      <x:c r="G22" s="89" t="n">
        <x:v>15</x:v>
      </x:c>
      <x:c r="H22" s="89" t="n">
        <x:v>1</x:v>
      </x:c>
      <x:c r="I22" s="80" t="str">
        <x:f>IF(H22=0,"可完整核算","存在价格缺口")</x:f>
        <x:v>存在价格缺口</x:v>
      </x:c>
      <x:c r="J22" s="65" t="n">
        <x:v>1402</x:v>
      </x:c>
      <x:c r="K22" s="65" t="str">
        <x:f>IF(H22=0,J22,"")</x:f>
      </x:c>
      <x:c r="L22" s="65" t="n">
        <x:v>1750.5</x:v>
      </x:c>
      <x:c r="M22" s="65" t="str">
        <x:f>IF(H22=0,L22,"")</x:f>
      </x:c>
      <x:c r="N22" s="65"/>
      <x:c r="O22" s="92"/>
      <x:c r="P22" s="62" t="str">
        <x:v>2026-08-21 19:19:46+08:00</x:v>
      </x:c>
    </x:row>
    <x:row r="23">
      <x:c r="A23" s="62" t="str">
        <x:v>BUNDLE-9260204000003</x:v>
      </x:c>
      <x:c r="B23" s="83" t="str">
        <x:v>子牧精品羊肉礼包4900g（BJ）</x:v>
      </x:c>
      <x:c r="C23" s="62" t="str">
        <x:v>未分类</x:v>
      </x:c>
      <x:c r="D23" s="62" t="str">
        <x:v>京东云仓</x:v>
      </x:c>
      <x:c r="E23" s="62" t="str">
        <x:v>ACTIVE</x:v>
      </x:c>
      <x:c r="F23" s="62" t="n">
        <x:v>6</x:v>
      </x:c>
      <x:c r="G23" s="89" t="n">
        <x:v>10</x:v>
      </x:c>
      <x:c r="H23" s="89" t="n">
        <x:v>1</x:v>
      </x:c>
      <x:c r="I23" s="80" t="str">
        <x:f>IF(H23=0,"可完整核算","存在价格缺口")</x:f>
        <x:v>存在价格缺口</x:v>
      </x:c>
      <x:c r="J23" s="65" t="n">
        <x:v>792</x:v>
      </x:c>
      <x:c r="K23" s="65" t="str">
        <x:f>IF(H23=0,J23,"")</x:f>
      </x:c>
      <x:c r="L23" s="65" t="n">
        <x:v>1118.5</x:v>
      </x:c>
      <x:c r="M23" s="65" t="str">
        <x:f>IF(H23=0,L23,"")</x:f>
      </x:c>
      <x:c r="N23" s="65"/>
      <x:c r="O23" s="92"/>
      <x:c r="P23" s="62" t="str">
        <x:v>2026-08-21 19:19:46+08:00</x:v>
      </x:c>
    </x:row>
    <x:row r="24">
      <x:c r="A24" s="62" t="str">
        <x:v>BUNDLE-9260204000007</x:v>
      </x:c>
      <x:c r="B24" s="83" t="str">
        <x:v>原切精品牛肉大礼包6140g</x:v>
      </x:c>
      <x:c r="C24" s="62" t="str">
        <x:v>未分类</x:v>
      </x:c>
      <x:c r="D24" s="62" t="str">
        <x:v>京东云仓</x:v>
      </x:c>
      <x:c r="E24" s="62" t="str">
        <x:v>ACTIVE</x:v>
      </x:c>
      <x:c r="F24" s="62" t="n">
        <x:v>7</x:v>
      </x:c>
      <x:c r="G24" s="89" t="n">
        <x:v>15</x:v>
      </x:c>
      <x:c r="H24" s="89" t="n">
        <x:v>2</x:v>
      </x:c>
      <x:c r="I24" s="80" t="str">
        <x:f>IF(H24=0,"可完整核算","存在价格缺口")</x:f>
        <x:v>存在价格缺口</x:v>
      </x:c>
      <x:c r="J24" s="65" t="n">
        <x:v>1080</x:v>
      </x:c>
      <x:c r="K24" s="65" t="str">
        <x:f>IF(H24=0,J24,"")</x:f>
      </x:c>
      <x:c r="L24" s="65" t="n">
        <x:v>1213</x:v>
      </x:c>
      <x:c r="M24" s="65" t="str">
        <x:f>IF(H24=0,L24,"")</x:f>
      </x:c>
      <x:c r="N24" s="65"/>
      <x:c r="O24" s="92"/>
      <x:c r="P24" s="62" t="str">
        <x:v>2026-08-21 19:19:47+08:00</x:v>
      </x:c>
    </x:row>
    <x:row r="25">
      <x:c r="A25" s="62" t="str">
        <x:v>BUNDLE-9260210000006</x:v>
      </x:c>
      <x:c r="B25" s="83" t="str">
        <x:v>子牧原切牛肉礼包3100g</x:v>
      </x:c>
      <x:c r="C25" s="62" t="str">
        <x:v>未分类</x:v>
      </x:c>
      <x:c r="D25" s="62" t="str">
        <x:v>京东云仓</x:v>
      </x:c>
      <x:c r="E25" s="62" t="str">
        <x:v>ACTIVE</x:v>
      </x:c>
      <x:c r="F25" s="62" t="n">
        <x:v>6</x:v>
      </x:c>
      <x:c r="G25" s="89" t="n">
        <x:v>7</x:v>
      </x:c>
      <x:c r="H25" s="89" t="n">
        <x:v>2</x:v>
      </x:c>
      <x:c r="I25" s="80" t="str">
        <x:f>IF(H25=0,"可完整核算","存在价格缺口")</x:f>
        <x:v>存在价格缺口</x:v>
      </x:c>
      <x:c r="J25" s="65" t="n">
        <x:v>452</x:v>
      </x:c>
      <x:c r="K25" s="65" t="str">
        <x:f>IF(H25=0,J25,"")</x:f>
      </x:c>
      <x:c r="L25" s="65" t="n">
        <x:v>502</x:v>
      </x:c>
      <x:c r="M25" s="65" t="str">
        <x:f>IF(H25=0,L25,"")</x:f>
      </x:c>
      <x:c r="N25" s="65"/>
      <x:c r="O25" s="92"/>
      <x:c r="P25" s="62" t="str">
        <x:v>2026-08-21 19:19:47+08:00</x:v>
      </x:c>
    </x:row>
    <x:row r="26">
      <x:c r="A26" s="62" t="str">
        <x:v>BUNDLE-9260210000007</x:v>
      </x:c>
      <x:c r="B26" s="83" t="str">
        <x:v>子牧原切羊肉礼包3500g</x:v>
      </x:c>
      <x:c r="C26" s="62" t="str">
        <x:v>未分类</x:v>
      </x:c>
      <x:c r="D26" s="62" t="str">
        <x:v>京东云仓</x:v>
      </x:c>
      <x:c r="E26" s="62" t="str">
        <x:v>ACTIVE</x:v>
      </x:c>
      <x:c r="F26" s="62" t="n">
        <x:v>6</x:v>
      </x:c>
      <x:c r="G26" s="89" t="n">
        <x:v>7</x:v>
      </x:c>
      <x:c r="H26" s="89" t="n">
        <x:v>0</x:v>
      </x:c>
      <x:c r="I26" s="80" t="str">
        <x:f>IF(H26=0,"可完整核算","存在价格缺口")</x:f>
        <x:v>可完整核算</x:v>
      </x:c>
      <x:c r="J26" s="65" t="n">
        <x:v>612</x:v>
      </x:c>
      <x:c r="K26" s="65" t="n">
        <x:f>IF(H26=0,J26,"")</x:f>
        <x:v>612</x:v>
      </x:c>
      <x:c r="L26" s="65" t="n">
        <x:v>877</x:v>
      </x:c>
      <x:c r="M26" s="65" t="n">
        <x:f>IF(H26=0,L26,"")</x:f>
        <x:v>877</x:v>
      </x:c>
      <x:c r="N26" s="65"/>
      <x:c r="O26" s="92"/>
      <x:c r="P26" s="62" t="str">
        <x:v>2026-08-21 19:19:48+08:00</x:v>
      </x:c>
    </x:row>
    <x:row r="27">
      <x:c r="A27" s="62" t="str">
        <x:v>BUNDLE-9260402000011</x:v>
      </x:c>
      <x:c r="B27" s="83" t="str">
        <x:v>2026子牧精品牛羊肉大组合5700g</x:v>
      </x:c>
      <x:c r="C27" s="62" t="str">
        <x:v>未分类</x:v>
      </x:c>
      <x:c r="D27" s="62" t="str">
        <x:v>京东云仓</x:v>
      </x:c>
      <x:c r="E27" s="62" t="str">
        <x:v>ACTIVE</x:v>
      </x:c>
      <x:c r="F27" s="62" t="n">
        <x:v>9</x:v>
      </x:c>
      <x:c r="G27" s="89" t="n">
        <x:v>12</x:v>
      </x:c>
      <x:c r="H27" s="89" t="n">
        <x:v>1</x:v>
      </x:c>
      <x:c r="I27" s="80" t="str">
        <x:f>IF(H27=0,"可完整核算","存在价格缺口")</x:f>
        <x:v>存在价格缺口</x:v>
      </x:c>
      <x:c r="J27" s="65" t="n">
        <x:v>930</x:v>
      </x:c>
      <x:c r="K27" s="65" t="str">
        <x:f>IF(H27=0,J27,"")</x:f>
      </x:c>
      <x:c r="L27" s="65" t="n">
        <x:v>1172.5</x:v>
      </x:c>
      <x:c r="M27" s="65" t="str">
        <x:f>IF(H27=0,L27,"")</x:f>
      </x:c>
      <x:c r="N27" s="65"/>
      <x:c r="O27" s="92"/>
      <x:c r="P27" s="62" t="str">
        <x:v>2026-08-21 19:19:49+08:00</x:v>
      </x:c>
    </x:row>
    <x:row r="28">
      <x:c r="A28" s="62" t="str">
        <x:v>BUNDLE-9260402000012</x:v>
      </x:c>
      <x:c r="B28" s="83" t="str">
        <x:v>2026子牧精品牛羊肉小组合2800g</x:v>
      </x:c>
      <x:c r="C28" s="62" t="str">
        <x:v>未分类</x:v>
      </x:c>
      <x:c r="D28" s="62" t="str">
        <x:v>京东云仓</x:v>
      </x:c>
      <x:c r="E28" s="62" t="str">
        <x:v>ACTIVE</x:v>
      </x:c>
      <x:c r="F28" s="62" t="n">
        <x:v>5</x:v>
      </x:c>
      <x:c r="G28" s="89" t="n">
        <x:v>6</x:v>
      </x:c>
      <x:c r="H28" s="89" t="n">
        <x:v>1</x:v>
      </x:c>
      <x:c r="I28" s="80" t="str">
        <x:f>IF(H28=0,"可完整核算","存在价格缺口")</x:f>
        <x:v>存在价格缺口</x:v>
      </x:c>
      <x:c r="J28" s="65" t="n">
        <x:v>353</x:v>
      </x:c>
      <x:c r="K28" s="65" t="str">
        <x:f>IF(H28=0,J28,"")</x:f>
      </x:c>
      <x:c r="L28" s="65" t="n">
        <x:v>471.5</x:v>
      </x:c>
      <x:c r="M28" s="65" t="str">
        <x:f>IF(H28=0,L28,"")</x:f>
      </x:c>
      <x:c r="N28" s="65"/>
      <x:c r="O28" s="92"/>
      <x:c r="P28" s="62" t="str">
        <x:v>2026-08-21 19:19:48+08:00</x:v>
      </x:c>
    </x:row>
    <x:row r="29">
      <x:c r="A29" s="62" t="str">
        <x:v>BUNDLE-9260410000045</x:v>
      </x:c>
      <x:c r="B29" s="83" t="str">
        <x:v>2026原切精品牛羊礼包5800g</x:v>
      </x:c>
      <x:c r="C29" s="62" t="str">
        <x:v>未分类</x:v>
      </x:c>
      <x:c r="D29" s="62" t="str">
        <x:v>京东云仓</x:v>
      </x:c>
      <x:c r="E29" s="62" t="str">
        <x:v>ACTIVE</x:v>
      </x:c>
      <x:c r="F29" s="62" t="n">
        <x:v>9</x:v>
      </x:c>
      <x:c r="G29" s="89" t="n">
        <x:v>12</x:v>
      </x:c>
      <x:c r="H29" s="89" t="n">
        <x:v>1</x:v>
      </x:c>
      <x:c r="I29" s="80" t="str">
        <x:f>IF(H29=0,"可完整核算","存在价格缺口")</x:f>
        <x:v>存在价格缺口</x:v>
      </x:c>
      <x:c r="J29" s="65" t="n">
        <x:v>953</x:v>
      </x:c>
      <x:c r="K29" s="65" t="str">
        <x:f>IF(H29=0,J29,"")</x:f>
      </x:c>
      <x:c r="L29" s="65" t="n">
        <x:v>1189</x:v>
      </x:c>
      <x:c r="M29" s="65" t="str">
        <x:f>IF(H29=0,L29,"")</x:f>
      </x:c>
      <x:c r="N29" s="65"/>
      <x:c r="O29" s="92"/>
      <x:c r="P29" s="62" t="str">
        <x:v>2026-08-21 19:19:49+08:00</x:v>
      </x:c>
    </x:row>
    <x:row r="30">
      <x:c r="A30" s="62" t="str">
        <x:v>BUNDLE-9260414000009</x:v>
      </x:c>
      <x:c r="B30" s="83" t="str">
        <x:v>2026年子牧牛羊套餐3950g（DZ）</x:v>
      </x:c>
      <x:c r="C30" s="62" t="str">
        <x:v>未分类</x:v>
      </x:c>
      <x:c r="D30" s="62" t="str">
        <x:v>京东云仓</x:v>
      </x:c>
      <x:c r="E30" s="62" t="str">
        <x:v>ACTIVE</x:v>
      </x:c>
      <x:c r="F30" s="62" t="n">
        <x:v>6</x:v>
      </x:c>
      <x:c r="G30" s="89" t="n">
        <x:v>9</x:v>
      </x:c>
      <x:c r="H30" s="89" t="n">
        <x:v>1</x:v>
      </x:c>
      <x:c r="I30" s="80" t="str">
        <x:f>IF(H30=0,"可完整核算","存在价格缺口")</x:f>
        <x:v>存在价格缺口</x:v>
      </x:c>
      <x:c r="J30" s="65" t="n">
        <x:v>574</x:v>
      </x:c>
      <x:c r="K30" s="65" t="str">
        <x:f>IF(H30=0,J30,"")</x:f>
      </x:c>
      <x:c r="L30" s="65" t="n">
        <x:v>735.5</x:v>
      </x:c>
      <x:c r="M30" s="65" t="str">
        <x:f>IF(H30=0,L30,"")</x:f>
      </x:c>
      <x:c r="N30" s="65"/>
      <x:c r="O30" s="92"/>
      <x:c r="P30" s="62" t="str">
        <x:v>2026-08-21 19:19:50+08:00</x:v>
      </x:c>
    </x:row>
    <x:row r="31">
      <x:c r="A31" s="62" t="str">
        <x:v>BUNDLE-9260428000076</x:v>
      </x:c>
      <x:c r="B31" s="83" t="str">
        <x:v>20260428子牧牛肉套餐2200g（DZ）</x:v>
      </x:c>
      <x:c r="C31" s="62" t="str">
        <x:v>未分类</x:v>
      </x:c>
      <x:c r="D31" s="62" t="str">
        <x:v>京东云仓</x:v>
      </x:c>
      <x:c r="E31" s="62" t="str">
        <x:v>ACTIVE</x:v>
      </x:c>
      <x:c r="F31" s="62" t="n">
        <x:v>4</x:v>
      </x:c>
      <x:c r="G31" s="89" t="n">
        <x:v>5</x:v>
      </x:c>
      <x:c r="H31" s="89" t="n">
        <x:v>1</x:v>
      </x:c>
      <x:c r="I31" s="80" t="str">
        <x:f>IF(H31=0,"可完整核算","存在价格缺口")</x:f>
        <x:v>存在价格缺口</x:v>
      </x:c>
      <x:c r="J31" s="65" t="n">
        <x:v>310</x:v>
      </x:c>
      <x:c r="K31" s="65" t="str">
        <x:f>IF(H31=0,J31,"")</x:f>
      </x:c>
      <x:c r="L31" s="65" t="n">
        <x:v>345</x:v>
      </x:c>
      <x:c r="M31" s="65" t="str">
        <x:f>IF(H31=0,L31,"")</x:f>
      </x:c>
      <x:c r="N31" s="65"/>
      <x:c r="O31" s="92"/>
      <x:c r="P31" s="62" t="str">
        <x:v>2026-08-21 19:19:50+08:00</x:v>
      </x:c>
    </x:row>
    <x:row r="32">
      <x:c r="A32" s="62" t="str">
        <x:v>BUNDLE-9260428000077</x:v>
      </x:c>
      <x:c r="B32" s="83" t="str">
        <x:v>20260428子牧羊肉套餐2500g（DZ）</x:v>
      </x:c>
      <x:c r="C32" s="62" t="str">
        <x:v>未分类</x:v>
      </x:c>
      <x:c r="D32" s="62" t="str">
        <x:v>京东云仓</x:v>
      </x:c>
      <x:c r="E32" s="62" t="str">
        <x:v>ACTIVE</x:v>
      </x:c>
      <x:c r="F32" s="62" t="n">
        <x:v>4</x:v>
      </x:c>
      <x:c r="G32" s="89" t="n">
        <x:v>5</x:v>
      </x:c>
      <x:c r="H32" s="89" t="n">
        <x:v>0</x:v>
      </x:c>
      <x:c r="I32" s="80" t="str">
        <x:f>IF(H32=0,"可完整核算","存在价格缺口")</x:f>
        <x:v>可完整核算</x:v>
      </x:c>
      <x:c r="J32" s="65" t="n">
        <x:v>385</x:v>
      </x:c>
      <x:c r="K32" s="65" t="n">
        <x:f>IF(H32=0,J32,"")</x:f>
        <x:v>385</x:v>
      </x:c>
      <x:c r="L32" s="65" t="n">
        <x:v>530</x:v>
      </x:c>
      <x:c r="M32" s="65" t="n">
        <x:f>IF(H32=0,L32,"")</x:f>
        <x:v>530</x:v>
      </x:c>
      <x:c r="N32" s="65"/>
      <x:c r="O32" s="92"/>
      <x:c r="P32" s="62" t="str">
        <x:v>2026-08-21 19:19:50+08:00</x:v>
      </x:c>
    </x:row>
    <x:row r="33">
      <x:c r="A33" s="62" t="str">
        <x:v>BUNDLE-9260428000078</x:v>
      </x:c>
      <x:c r="B33" s="83" t="str">
        <x:v>20260428子牧原切精品牛肉礼包3100g</x:v>
      </x:c>
      <x:c r="C33" s="62" t="str">
        <x:v>未分类</x:v>
      </x:c>
      <x:c r="D33" s="62" t="str">
        <x:v>京东云仓</x:v>
      </x:c>
      <x:c r="E33" s="62" t="str">
        <x:v>ACTIVE</x:v>
      </x:c>
      <x:c r="F33" s="62" t="n">
        <x:v>5</x:v>
      </x:c>
      <x:c r="G33" s="89" t="n">
        <x:v>7</x:v>
      </x:c>
      <x:c r="H33" s="89" t="n">
        <x:v>1</x:v>
      </x:c>
      <x:c r="I33" s="80" t="str">
        <x:f>IF(H33=0,"可完整核算","存在价格缺口")</x:f>
        <x:v>存在价格缺口</x:v>
      </x:c>
      <x:c r="J33" s="65" t="n">
        <x:v>530</x:v>
      </x:c>
      <x:c r="K33" s="65" t="str">
        <x:f>IF(H33=0,J33,"")</x:f>
      </x:c>
      <x:c r="L33" s="65" t="n">
        <x:v>592</x:v>
      </x:c>
      <x:c r="M33" s="65" t="str">
        <x:f>IF(H33=0,L33,"")</x:f>
      </x:c>
      <x:c r="N33" s="65"/>
      <x:c r="O33" s="92"/>
      <x:c r="P33" s="62" t="str">
        <x:v>2026-08-21 19:19:51+08:00</x:v>
      </x:c>
    </x:row>
    <x:row r="34">
      <x:c r="A34" s="62" t="str">
        <x:v>BUNDLE-9260428000079</x:v>
      </x:c>
      <x:c r="B34" s="83" t="str">
        <x:v>20260428子牧原切精品羊肉组合3500g</x:v>
      </x:c>
      <x:c r="C34" s="62" t="str">
        <x:v>未分类</x:v>
      </x:c>
      <x:c r="D34" s="62" t="str">
        <x:v>京东云仓</x:v>
      </x:c>
      <x:c r="E34" s="62" t="str">
        <x:v>ACTIVE</x:v>
      </x:c>
      <x:c r="F34" s="62" t="n">
        <x:v>5</x:v>
      </x:c>
      <x:c r="G34" s="89" t="n">
        <x:v>6</x:v>
      </x:c>
      <x:c r="H34" s="89" t="n">
        <x:v>0</x:v>
      </x:c>
      <x:c r="I34" s="80" t="str">
        <x:f>IF(H34=0,"可完整核算","存在价格缺口")</x:f>
        <x:v>可完整核算</x:v>
      </x:c>
      <x:c r="J34" s="65" t="n">
        <x:v>491</x:v>
      </x:c>
      <x:c r="K34" s="65" t="n">
        <x:f>IF(H34=0,J34,"")</x:f>
        <x:v>491</x:v>
      </x:c>
      <x:c r="L34" s="65" t="n">
        <x:v>656.5</x:v>
      </x:c>
      <x:c r="M34" s="65" t="n">
        <x:f>IF(H34=0,L34,"")</x:f>
        <x:v>656.5</x:v>
      </x:c>
      <x:c r="N34" s="65"/>
      <x:c r="O34" s="92"/>
      <x:c r="P34" s="62" t="str">
        <x:v>2026-08-21 19:19:51+08:00</x:v>
      </x:c>
    </x:row>
    <x:row r="35">
      <x:c r="A35" s="62" t="str">
        <x:v>万齐-牛羊精选礼包-6000g</x:v>
      </x:c>
      <x:c r="B35" s="83" t="str">
        <x:v>子牧牛羊精选礼包 6000g</x:v>
      </x:c>
      <x:c r="C35" s="62" t="str">
        <x:v>未分类</x:v>
      </x:c>
      <x:c r="D35" s="62" t="str">
        <x:v>京东云仓</x:v>
      </x:c>
      <x:c r="E35" s="62" t="str">
        <x:v>ACTIVE</x:v>
      </x:c>
      <x:c r="F35" s="62" t="n">
        <x:v>10</x:v>
      </x:c>
      <x:c r="G35" s="89" t="n">
        <x:v>13</x:v>
      </x:c>
      <x:c r="H35" s="89" t="n">
        <x:v>3</x:v>
      </x:c>
      <x:c r="I35" s="80" t="str">
        <x:f>IF(H35=0,"可完整核算","存在价格缺口")</x:f>
        <x:v>存在价格缺口</x:v>
      </x:c>
      <x:c r="J35" s="65" t="n">
        <x:v>892</x:v>
      </x:c>
      <x:c r="K35" s="65" t="str">
        <x:f>IF(H35=0,J35,"")</x:f>
      </x:c>
      <x:c r="L35" s="65" t="n">
        <x:v>1114</x:v>
      </x:c>
      <x:c r="M35" s="65" t="str">
        <x:f>IF(H35=0,L35,"")</x:f>
      </x:c>
      <x:c r="N35" s="65"/>
      <x:c r="O35" s="92"/>
      <x:c r="P35" s="62" t="str">
        <x:v>2026-08-20 17:04:55+08:00</x:v>
      </x:c>
    </x:row>
    <x:row r="36">
      <x:c r="A36" s="63" t="str">
        <x:v>万齐-羊蝎子鸵鸟组合-1080g</x:v>
      </x:c>
      <x:c r="B36" s="84" t="str">
        <x:v>羊蝎子鸵鸟肉排组合 1080g</x:v>
      </x:c>
      <x:c r="C36" s="63" t="str">
        <x:v>未分类</x:v>
      </x:c>
      <x:c r="D36" s="63" t="str"/>
      <x:c r="E36" s="63" t="str">
        <x:v>ACTIVE</x:v>
      </x:c>
      <x:c r="F36" s="63" t="n">
        <x:v>2</x:v>
      </x:c>
      <x:c r="G36" s="90" t="n">
        <x:v>3</x:v>
      </x:c>
      <x:c r="H36" s="90" t="n">
        <x:v>1</x:v>
      </x:c>
      <x:c r="I36" s="81" t="str">
        <x:f>IF(H36=0,"可完整核算","存在价格缺口")</x:f>
        <x:v>存在价格缺口</x:v>
      </x:c>
      <x:c r="J36" s="66" t="n">
        <x:v>136</x:v>
      </x:c>
      <x:c r="K36" s="66" t="str">
        <x:f>IF(H36=0,J36,"")</x:f>
      </x:c>
      <x:c r="L36" s="66" t="n">
        <x:v>156</x:v>
      </x:c>
      <x:c r="M36" s="66" t="str">
        <x:f>IF(H36=0,L36,"")</x:f>
      </x:c>
      <x:c r="N36" s="66"/>
      <x:c r="O36" s="93"/>
      <x:c r="P36" s="63" t="str">
        <x:v>2026-08-20 17:05:07+08:00</x:v>
      </x:c>
    </x:row>
  </x:sheetData>
  <x:mergeCells>
    <x:mergeCell ref="A1:P1"/>
    <x:mergeCell ref="A2:P2"/>
  </x:mergeCells>
  <x:conditionalFormatting sqref="I5:I36">
    <x:cfRule type="containsText" dxfId="4" priority="1" operator="containsText" text="价格缺口"/>
    <x:cfRule type="containsText" dxfId="5" priority="2" operator="containsText" text="完整核算"/>
  </x:conditionalFormatting>
  <x:pageMargins left="0.7" right="0.7" top="0.75" bottom="0.75" header="0.3" footer="0.3"/>
  <x:tableParts count="1">
    <x:tablePart xmlns:r="http://schemas.openxmlformats.org/officeDocument/2006/relationships" r:id="R17e2c8b3509441a6"/>
  </x:tableParts>
</x:worksheet>
</file>